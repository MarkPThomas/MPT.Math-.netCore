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personal\MPT.Net\MPT\Math\docs\"/>
    </mc:Choice>
  </mc:AlternateContent>
  <xr:revisionPtr revIDLastSave="0" documentId="13_ncr:1_{7E564865-2670-4760-B13B-E85ED00ABC0E}" xr6:coauthVersionLast="45" xr6:coauthVersionMax="45" xr10:uidLastSave="{00000000-0000-0000-0000-000000000000}"/>
  <bookViews>
    <workbookView xWindow="28680" yWindow="-120" windowWidth="29040" windowHeight="15840" tabRatio="824" firstSheet="2" activeTab="14" xr2:uid="{00000000-000D-0000-FFFF-FFFF00000000}"/>
  </bookViews>
  <sheets>
    <sheet name="Numbers" sheetId="3" r:id="rId1"/>
    <sheet name="Algebra" sheetId="1" r:id="rId2"/>
    <sheet name="Matrix" sheetId="2" r:id="rId3"/>
    <sheet name="TrigonometryLibrary" sheetId="6" r:id="rId4"/>
    <sheet name="GeometryLibrary" sheetId="11" r:id="rId5"/>
    <sheet name="VectorLibrary" sheetId="5" r:id="rId6"/>
    <sheet name="CartesianCoordinates" sheetId="4" r:id="rId7"/>
    <sheet name="CartesianOffsets" sheetId="8" r:id="rId8"/>
    <sheet name="Angle" sheetId="7" r:id="rId9"/>
    <sheet name="AngleOffsets" sheetId="9" r:id="rId10"/>
    <sheet name="PolarCoordinate" sheetId="12" r:id="rId11"/>
    <sheet name="PolarOffset" sheetId="13" r:id="rId12"/>
    <sheet name="Vectors" sheetId="10" r:id="rId13"/>
    <sheet name="Conics" sheetId="14" r:id="rId14"/>
    <sheet name="Curved Areas Calcs" sheetId="15" r:id="rId15"/>
  </sheets>
  <externalReferences>
    <externalReference r:id="rId16"/>
  </externalReferences>
  <definedNames>
    <definedName name="a_2" localSheetId="1">Algebra!$C$307</definedName>
    <definedName name="a_bar" localSheetId="1">Algebra!$C$214</definedName>
    <definedName name="A_cap" localSheetId="1">Algebra!$C$218</definedName>
    <definedName name="b_bar" localSheetId="1">Algebra!$C$215</definedName>
    <definedName name="B_cap" localSheetId="1">Algebra!$C$219</definedName>
    <definedName name="c_bar" localSheetId="1">Algebra!$C$216</definedName>
    <definedName name="currentGraphType">'[1]Shape Calcs (Hollow)'!$J$17</definedName>
    <definedName name="currentShape">'[1]Shape Calcs (Hollow)'!$J$15</definedName>
    <definedName name="d_bar" localSheetId="1">Algebra!$C$217</definedName>
    <definedName name="deltaRadius">'Curved Areas Calcs'!$H$3</definedName>
    <definedName name="deltaTheta">'Curved Areas Calcs'!$H$2</definedName>
    <definedName name="F_e22" localSheetId="1">Algebra!$C$300</definedName>
    <definedName name="F_e33" localSheetId="1">Algebra!$C$301</definedName>
    <definedName name="F_ez" localSheetId="1">Algebra!$C$302</definedName>
    <definedName name="listShapesCentroidNew">'[1]Shape Calcs (Hollow)'!$P$2:$P$13</definedName>
    <definedName name="listShapesCentroidOriginal">'[1]Shape Calcs (Hollow)'!$Q$2:$Q$11</definedName>
    <definedName name="listShapesGraphedNew">'[1]Shape Calcs (Hollow)'!$N$2:$N$21</definedName>
    <definedName name="listShapesGraphedOriginal">'[1]Shape Calcs (Hollow)'!$O$2:$O$13</definedName>
    <definedName name="Q" localSheetId="1">Algebra!$C$310</definedName>
    <definedName name="r_o" localSheetId="1">Algebra!$C$62</definedName>
    <definedName name="radius1">'Curved Areas Calcs'!$C$3</definedName>
    <definedName name="radius2">'Curved Areas Calcs'!$C$5</definedName>
    <definedName name="t" localSheetId="1">Algebra!$C$221</definedName>
    <definedName name="theta" localSheetId="1">Algebra!$C$315</definedName>
    <definedName name="theta1">'Curved Areas Calcs'!$C$2</definedName>
    <definedName name="theta2">'Curved Areas Calcs'!$C$4</definedName>
    <definedName name="x_o" localSheetId="1">Algebra!$C$55</definedName>
    <definedName name="y_o" localSheetId="1">Algebra!$C$59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15" l="1"/>
  <c r="C9" i="15"/>
  <c r="H17" i="15"/>
  <c r="C16" i="15"/>
  <c r="B16" i="15"/>
  <c r="H24" i="15"/>
  <c r="H23" i="15"/>
  <c r="H22" i="15"/>
  <c r="A22" i="15"/>
  <c r="A20" i="15"/>
  <c r="A21" i="15" s="1"/>
  <c r="A19" i="15"/>
  <c r="I18" i="15"/>
  <c r="H18" i="15"/>
  <c r="A18" i="15"/>
  <c r="I17" i="15"/>
  <c r="A17" i="15"/>
  <c r="I11" i="15"/>
  <c r="D11" i="15"/>
  <c r="C11" i="15"/>
  <c r="K10" i="15"/>
  <c r="K9" i="15" s="1"/>
  <c r="H10" i="15"/>
  <c r="H11" i="15" s="1"/>
  <c r="F10" i="15"/>
  <c r="F11" i="15" s="1"/>
  <c r="I9" i="15"/>
  <c r="H9" i="15"/>
  <c r="D9" i="15"/>
  <c r="J10" i="15" l="1"/>
  <c r="J11" i="15" s="1"/>
  <c r="C21" i="15"/>
  <c r="C20" i="15"/>
  <c r="F9" i="15"/>
  <c r="C19" i="15"/>
  <c r="C17" i="15"/>
  <c r="B22" i="15"/>
  <c r="C22" i="15"/>
  <c r="B17" i="15"/>
  <c r="B21" i="15"/>
  <c r="A23" i="15"/>
  <c r="E10" i="15"/>
  <c r="D16" i="15" s="1"/>
  <c r="K11" i="15"/>
  <c r="C18" i="15"/>
  <c r="B20" i="15"/>
  <c r="B19" i="15"/>
  <c r="B18" i="15"/>
  <c r="J9" i="15" l="1"/>
  <c r="D19" i="15"/>
  <c r="E19" i="15" s="1"/>
  <c r="E9" i="15"/>
  <c r="D20" i="15"/>
  <c r="E20" i="15" s="1"/>
  <c r="D22" i="15"/>
  <c r="E22" i="15" s="1"/>
  <c r="E16" i="15"/>
  <c r="E11" i="15"/>
  <c r="D18" i="15"/>
  <c r="E18" i="15" s="1"/>
  <c r="D21" i="15"/>
  <c r="E21" i="15" s="1"/>
  <c r="D17" i="15"/>
  <c r="E17" i="15" s="1"/>
  <c r="A24" i="15"/>
  <c r="C23" i="15"/>
  <c r="B23" i="15"/>
  <c r="D23" i="15" s="1"/>
  <c r="E23" i="15" s="1"/>
  <c r="B24" i="15" l="1"/>
  <c r="D24" i="15" s="1"/>
  <c r="E24" i="15" s="1"/>
  <c r="A25" i="15"/>
  <c r="C24" i="15"/>
  <c r="C25" i="15" l="1"/>
  <c r="B25" i="15"/>
  <c r="D25" i="15" s="1"/>
  <c r="E25" i="15" s="1"/>
  <c r="A26" i="15"/>
  <c r="A27" i="15" l="1"/>
  <c r="C26" i="15"/>
  <c r="B26" i="15"/>
  <c r="D26" i="15" s="1"/>
  <c r="E26" i="15" s="1"/>
  <c r="B27" i="15" l="1"/>
  <c r="D27" i="15" s="1"/>
  <c r="E27" i="15" s="1"/>
  <c r="A28" i="15"/>
  <c r="C27" i="15"/>
  <c r="C28" i="15" l="1"/>
  <c r="D28" i="15"/>
  <c r="E28" i="15" s="1"/>
  <c r="A29" i="15"/>
  <c r="A30" i="15" l="1"/>
  <c r="C29" i="15"/>
  <c r="B29" i="15"/>
  <c r="D29" i="15" s="1"/>
  <c r="E29" i="15" s="1"/>
  <c r="C30" i="15" l="1"/>
  <c r="B30" i="15"/>
  <c r="D30" i="15" s="1"/>
  <c r="E30" i="15" s="1"/>
  <c r="A31" i="15"/>
  <c r="A32" i="15" l="1"/>
  <c r="C31" i="15"/>
  <c r="B31" i="15"/>
  <c r="D31" i="15" s="1"/>
  <c r="E31" i="15" s="1"/>
  <c r="A33" i="15" l="1"/>
  <c r="C32" i="15"/>
  <c r="B32" i="15"/>
  <c r="D32" i="15" s="1"/>
  <c r="E32" i="15" s="1"/>
  <c r="C33" i="15" l="1"/>
  <c r="B33" i="15"/>
  <c r="D33" i="15" s="1"/>
  <c r="E33" i="15" s="1"/>
  <c r="A34" i="15"/>
  <c r="A35" i="15" l="1"/>
  <c r="C34" i="15"/>
  <c r="B34" i="15"/>
  <c r="D34" i="15" s="1"/>
  <c r="E34" i="15" s="1"/>
  <c r="B35" i="15" l="1"/>
  <c r="D35" i="15" s="1"/>
  <c r="E35" i="15" s="1"/>
  <c r="A36" i="15"/>
  <c r="C35" i="15"/>
  <c r="C36" i="15" l="1"/>
  <c r="B36" i="15"/>
  <c r="D36" i="15" s="1"/>
  <c r="E36" i="15" s="1"/>
  <c r="A37" i="15"/>
  <c r="A38" i="15" l="1"/>
  <c r="B37" i="15"/>
  <c r="D37" i="15" s="1"/>
  <c r="E37" i="15" s="1"/>
  <c r="C37" i="15"/>
  <c r="C38" i="15" l="1"/>
  <c r="B38" i="15"/>
  <c r="D38" i="15" s="1"/>
  <c r="E38" i="15" s="1"/>
  <c r="A39" i="15"/>
  <c r="A40" i="15" l="1"/>
  <c r="C39" i="15"/>
  <c r="B39" i="15"/>
  <c r="D39" i="15" s="1"/>
  <c r="E39" i="15" s="1"/>
  <c r="A41" i="15" l="1"/>
  <c r="B40" i="15"/>
  <c r="D40" i="15" s="1"/>
  <c r="E40" i="15" s="1"/>
  <c r="C40" i="15"/>
  <c r="C41" i="15" l="1"/>
  <c r="B41" i="15"/>
  <c r="D41" i="15" s="1"/>
  <c r="E41" i="15" s="1"/>
  <c r="A42" i="15"/>
  <c r="A43" i="15" l="1"/>
  <c r="C42" i="15"/>
  <c r="B42" i="15"/>
  <c r="D42" i="15" s="1"/>
  <c r="E42" i="15" s="1"/>
  <c r="B43" i="15" l="1"/>
  <c r="D43" i="15" s="1"/>
  <c r="E43" i="15" s="1"/>
  <c r="A44" i="15"/>
  <c r="C43" i="15"/>
  <c r="C44" i="15" l="1"/>
  <c r="B44" i="15"/>
  <c r="D44" i="15" s="1"/>
  <c r="E44" i="15" s="1"/>
  <c r="A45" i="15"/>
  <c r="A46" i="15" l="1"/>
  <c r="C45" i="15"/>
  <c r="B45" i="15"/>
  <c r="D45" i="15" s="1"/>
  <c r="E45" i="15" s="1"/>
  <c r="C46" i="15" l="1"/>
  <c r="B46" i="15"/>
  <c r="D46" i="15" s="1"/>
  <c r="E46" i="15" s="1"/>
  <c r="A47" i="15"/>
  <c r="A48" i="15" l="1"/>
  <c r="C47" i="15"/>
  <c r="B47" i="15"/>
  <c r="D47" i="15" s="1"/>
  <c r="E47" i="15" s="1"/>
  <c r="A49" i="15" l="1"/>
  <c r="B48" i="15"/>
  <c r="D48" i="15" s="1"/>
  <c r="E48" i="15" s="1"/>
  <c r="C48" i="15"/>
  <c r="C49" i="15" l="1"/>
  <c r="B49" i="15"/>
  <c r="D49" i="15" s="1"/>
  <c r="E49" i="15" s="1"/>
  <c r="A50" i="15"/>
  <c r="A51" i="15" l="1"/>
  <c r="C50" i="15"/>
  <c r="B50" i="15"/>
  <c r="D50" i="15" s="1"/>
  <c r="E50" i="15" s="1"/>
  <c r="B51" i="15" l="1"/>
  <c r="D51" i="15" s="1"/>
  <c r="E51" i="15" s="1"/>
  <c r="A52" i="15"/>
  <c r="C51" i="15"/>
  <c r="C52" i="15" l="1"/>
  <c r="B52" i="15"/>
  <c r="D52" i="15" s="1"/>
  <c r="E52" i="15" s="1"/>
  <c r="A53" i="15"/>
  <c r="A54" i="15" l="1"/>
  <c r="B53" i="15"/>
  <c r="D53" i="15" s="1"/>
  <c r="E53" i="15" s="1"/>
  <c r="C53" i="15"/>
  <c r="C54" i="15" l="1"/>
  <c r="B54" i="15"/>
  <c r="D54" i="15" s="1"/>
  <c r="E54" i="15" s="1"/>
  <c r="A55" i="15"/>
  <c r="A56" i="15" l="1"/>
  <c r="B55" i="15"/>
  <c r="D55" i="15" s="1"/>
  <c r="E55" i="15" s="1"/>
  <c r="C55" i="15"/>
  <c r="A57" i="15" l="1"/>
  <c r="C56" i="15"/>
  <c r="B56" i="15"/>
  <c r="D56" i="15" s="1"/>
  <c r="E56" i="15" s="1"/>
  <c r="C57" i="15" l="1"/>
  <c r="B57" i="15"/>
  <c r="D57" i="15" s="1"/>
  <c r="E57" i="15" s="1"/>
  <c r="A58" i="15"/>
  <c r="A59" i="15" l="1"/>
  <c r="C58" i="15"/>
  <c r="B58" i="15"/>
  <c r="D58" i="15" s="1"/>
  <c r="E58" i="15" s="1"/>
  <c r="B59" i="15" l="1"/>
  <c r="D59" i="15" s="1"/>
  <c r="E59" i="15" s="1"/>
  <c r="A60" i="15"/>
  <c r="C59" i="15"/>
  <c r="C60" i="15" l="1"/>
  <c r="B60" i="15"/>
  <c r="D60" i="15" s="1"/>
  <c r="E60" i="15" s="1"/>
  <c r="A61" i="15"/>
  <c r="A62" i="15" l="1"/>
  <c r="B61" i="15"/>
  <c r="D61" i="15" s="1"/>
  <c r="E61" i="15" s="1"/>
  <c r="C61" i="15"/>
  <c r="C62" i="15" l="1"/>
  <c r="B62" i="15"/>
  <c r="D62" i="15" s="1"/>
  <c r="E62" i="15" s="1"/>
  <c r="A63" i="15"/>
  <c r="A64" i="15" l="1"/>
  <c r="C63" i="15"/>
  <c r="B63" i="15"/>
  <c r="D63" i="15" s="1"/>
  <c r="E63" i="15" s="1"/>
  <c r="A65" i="15" l="1"/>
  <c r="C64" i="15"/>
  <c r="B64" i="15"/>
  <c r="D64" i="15" s="1"/>
  <c r="E64" i="15" s="1"/>
  <c r="C65" i="15" l="1"/>
  <c r="B65" i="15"/>
  <c r="D65" i="15" s="1"/>
  <c r="E65" i="15" s="1"/>
  <c r="A66" i="15"/>
  <c r="A67" i="15" l="1"/>
  <c r="B66" i="15"/>
  <c r="D66" i="15" s="1"/>
  <c r="E66" i="15" s="1"/>
  <c r="C66" i="15"/>
  <c r="B67" i="15" l="1"/>
  <c r="D67" i="15" s="1"/>
  <c r="E67" i="15" s="1"/>
  <c r="A68" i="15"/>
  <c r="C67" i="15"/>
  <c r="C68" i="15" l="1"/>
  <c r="B68" i="15"/>
  <c r="D68" i="15" s="1"/>
  <c r="E68" i="15" s="1"/>
  <c r="A69" i="15"/>
  <c r="C69" i="15" l="1"/>
  <c r="A70" i="15"/>
  <c r="B69" i="15"/>
  <c r="D69" i="15" s="1"/>
  <c r="E69" i="15" s="1"/>
  <c r="C70" i="15" l="1"/>
  <c r="B70" i="15"/>
  <c r="D70" i="15" s="1"/>
  <c r="E70" i="15" s="1"/>
  <c r="A71" i="15"/>
  <c r="A72" i="15" l="1"/>
  <c r="C71" i="15"/>
  <c r="B71" i="15"/>
  <c r="D71" i="15" s="1"/>
  <c r="E71" i="15" s="1"/>
  <c r="A73" i="15" l="1"/>
  <c r="C72" i="15"/>
  <c r="B72" i="15"/>
  <c r="D72" i="15" s="1"/>
  <c r="E72" i="15" s="1"/>
  <c r="C73" i="15" l="1"/>
  <c r="B73" i="15"/>
  <c r="D73" i="15" s="1"/>
  <c r="E73" i="15" s="1"/>
  <c r="A74" i="15"/>
  <c r="A75" i="15" l="1"/>
  <c r="B74" i="15"/>
  <c r="D74" i="15" s="1"/>
  <c r="E74" i="15" s="1"/>
  <c r="C74" i="15"/>
  <c r="B75" i="15" l="1"/>
  <c r="D75" i="15" s="1"/>
  <c r="E75" i="15" s="1"/>
  <c r="A76" i="15"/>
  <c r="C75" i="15"/>
  <c r="C76" i="15" l="1"/>
  <c r="B76" i="15"/>
  <c r="D76" i="15" s="1"/>
  <c r="E76" i="15" s="1"/>
  <c r="A77" i="15"/>
  <c r="A78" i="15" l="1"/>
  <c r="B77" i="15"/>
  <c r="D77" i="15" s="1"/>
  <c r="E77" i="15" s="1"/>
  <c r="C77" i="15"/>
  <c r="C78" i="15" l="1"/>
  <c r="B78" i="15"/>
  <c r="D78" i="15" s="1"/>
  <c r="E78" i="15" s="1"/>
  <c r="A79" i="15"/>
  <c r="A80" i="15" l="1"/>
  <c r="C79" i="15"/>
  <c r="B79" i="15"/>
  <c r="D79" i="15" s="1"/>
  <c r="E79" i="15" s="1"/>
  <c r="A81" i="15" l="1"/>
  <c r="C80" i="15"/>
  <c r="B80" i="15"/>
  <c r="D80" i="15" s="1"/>
  <c r="E80" i="15" s="1"/>
  <c r="C81" i="15" l="1"/>
  <c r="B81" i="15"/>
  <c r="D81" i="15" s="1"/>
  <c r="E81" i="15" s="1"/>
  <c r="A82" i="15"/>
  <c r="A83" i="15" l="1"/>
  <c r="B82" i="15"/>
  <c r="D82" i="15" s="1"/>
  <c r="E82" i="15" s="1"/>
  <c r="C82" i="15"/>
  <c r="B83" i="15" l="1"/>
  <c r="D83" i="15" s="1"/>
  <c r="E83" i="15" s="1"/>
  <c r="A84" i="15"/>
  <c r="C83" i="15"/>
  <c r="C84" i="15" l="1"/>
  <c r="B84" i="15"/>
  <c r="D84" i="15" s="1"/>
  <c r="E84" i="15" s="1"/>
  <c r="A85" i="15"/>
  <c r="C85" i="15" l="1"/>
  <c r="A86" i="15"/>
  <c r="B85" i="15"/>
  <c r="D85" i="15" s="1"/>
  <c r="E85" i="15" s="1"/>
  <c r="C86" i="15" l="1"/>
  <c r="B86" i="15"/>
  <c r="D86" i="15" s="1"/>
  <c r="E86" i="15" s="1"/>
  <c r="A87" i="15"/>
  <c r="A88" i="15" l="1"/>
  <c r="C87" i="15"/>
  <c r="B87" i="15"/>
  <c r="D87" i="15" s="1"/>
  <c r="E87" i="15" s="1"/>
  <c r="A89" i="15" l="1"/>
  <c r="C88" i="15"/>
  <c r="B88" i="15"/>
  <c r="D88" i="15" s="1"/>
  <c r="E88" i="15" s="1"/>
  <c r="C89" i="15" l="1"/>
  <c r="B89" i="15"/>
  <c r="D89" i="15" s="1"/>
  <c r="E89" i="15" s="1"/>
  <c r="A90" i="15"/>
  <c r="A91" i="15" l="1"/>
  <c r="C90" i="15"/>
  <c r="B90" i="15"/>
  <c r="D90" i="15" s="1"/>
  <c r="E90" i="15" s="1"/>
  <c r="B91" i="15" l="1"/>
  <c r="D91" i="15" s="1"/>
  <c r="E91" i="15" s="1"/>
  <c r="A92" i="15"/>
  <c r="C91" i="15"/>
  <c r="C92" i="15" l="1"/>
  <c r="B92" i="15"/>
  <c r="D92" i="15" s="1"/>
  <c r="E92" i="15" s="1"/>
  <c r="A93" i="15"/>
  <c r="A94" i="15" l="1"/>
  <c r="C93" i="15"/>
  <c r="B93" i="15"/>
  <c r="D93" i="15" s="1"/>
  <c r="E93" i="15" s="1"/>
  <c r="C94" i="15" l="1"/>
  <c r="B94" i="15"/>
  <c r="D94" i="15" s="1"/>
  <c r="E94" i="15" s="1"/>
  <c r="A95" i="15"/>
  <c r="A96" i="15" l="1"/>
  <c r="C95" i="15"/>
  <c r="B95" i="15"/>
  <c r="D95" i="15" s="1"/>
  <c r="E95" i="15" s="1"/>
  <c r="A97" i="15" l="1"/>
  <c r="C96" i="15"/>
  <c r="B96" i="15"/>
  <c r="D96" i="15" s="1"/>
  <c r="E96" i="15" s="1"/>
  <c r="C97" i="15" l="1"/>
  <c r="B97" i="15"/>
  <c r="D97" i="15" s="1"/>
  <c r="E97" i="15" s="1"/>
  <c r="A98" i="15"/>
  <c r="A99" i="15" l="1"/>
  <c r="C98" i="15"/>
  <c r="B98" i="15"/>
  <c r="D98" i="15" s="1"/>
  <c r="E98" i="15" s="1"/>
  <c r="B99" i="15" l="1"/>
  <c r="D99" i="15" s="1"/>
  <c r="E99" i="15" s="1"/>
  <c r="A100" i="15"/>
  <c r="C99" i="15"/>
  <c r="C100" i="15" l="1"/>
  <c r="B100" i="15"/>
  <c r="D100" i="15" s="1"/>
  <c r="E100" i="15" s="1"/>
  <c r="A101" i="15"/>
  <c r="C101" i="15" l="1"/>
  <c r="A102" i="15"/>
  <c r="B101" i="15"/>
  <c r="D101" i="15" s="1"/>
  <c r="E101" i="15" s="1"/>
  <c r="C102" i="15" l="1"/>
  <c r="B102" i="15"/>
  <c r="D102" i="15" s="1"/>
  <c r="E102" i="15" s="1"/>
  <c r="A103" i="15"/>
  <c r="A104" i="15" l="1"/>
  <c r="C103" i="15"/>
  <c r="B103" i="15"/>
  <c r="D103" i="15" s="1"/>
  <c r="E103" i="15" s="1"/>
  <c r="A105" i="15" l="1"/>
  <c r="C104" i="15"/>
  <c r="B104" i="15"/>
  <c r="D104" i="15" s="1"/>
  <c r="E104" i="15" s="1"/>
  <c r="C105" i="15" l="1"/>
  <c r="B105" i="15"/>
  <c r="D105" i="15" s="1"/>
  <c r="E105" i="15" s="1"/>
  <c r="A106" i="15"/>
  <c r="A107" i="15" l="1"/>
  <c r="C106" i="15"/>
  <c r="B106" i="15"/>
  <c r="D106" i="15" s="1"/>
  <c r="E106" i="15" s="1"/>
  <c r="B107" i="15" l="1"/>
  <c r="D107" i="15" s="1"/>
  <c r="E107" i="15" s="1"/>
  <c r="A108" i="15"/>
  <c r="C107" i="15"/>
  <c r="C108" i="15" l="1"/>
  <c r="B108" i="15"/>
  <c r="D108" i="15" s="1"/>
  <c r="E108" i="15" s="1"/>
  <c r="A109" i="15"/>
  <c r="A110" i="15" l="1"/>
  <c r="C109" i="15"/>
  <c r="B109" i="15"/>
  <c r="D109" i="15" s="1"/>
  <c r="E109" i="15" s="1"/>
  <c r="C110" i="15" l="1"/>
  <c r="B110" i="15"/>
  <c r="D110" i="15" s="1"/>
  <c r="E110" i="15" s="1"/>
  <c r="A111" i="15"/>
  <c r="A112" i="15" l="1"/>
  <c r="C111" i="15"/>
  <c r="B111" i="15"/>
  <c r="D111" i="15" s="1"/>
  <c r="E111" i="15" s="1"/>
  <c r="A113" i="15" l="1"/>
  <c r="C112" i="15"/>
  <c r="B112" i="15"/>
  <c r="D112" i="15" s="1"/>
  <c r="E112" i="15" s="1"/>
  <c r="C113" i="15" l="1"/>
  <c r="B113" i="15"/>
  <c r="D113" i="15" s="1"/>
  <c r="E113" i="15" s="1"/>
  <c r="A114" i="15"/>
  <c r="A115" i="15" l="1"/>
  <c r="B114" i="15"/>
  <c r="D114" i="15" s="1"/>
  <c r="E114" i="15" s="1"/>
  <c r="C114" i="15"/>
  <c r="B115" i="15" l="1"/>
  <c r="D115" i="15" s="1"/>
  <c r="E115" i="15" s="1"/>
  <c r="A116" i="15"/>
  <c r="C115" i="15"/>
  <c r="C116" i="15" l="1"/>
  <c r="B116" i="15"/>
  <c r="D116" i="15" s="1"/>
  <c r="E116" i="15" s="1"/>
  <c r="K7" i="14" l="1"/>
  <c r="K8" i="14"/>
  <c r="J8" i="14"/>
  <c r="J6" i="14"/>
  <c r="I5" i="14"/>
  <c r="H5" i="14"/>
  <c r="L13" i="14"/>
  <c r="M13" i="14"/>
  <c r="L14" i="14"/>
  <c r="M14" i="14"/>
  <c r="L15" i="14"/>
  <c r="M15" i="14"/>
  <c r="L16" i="14"/>
  <c r="M16" i="14"/>
  <c r="M12" i="14"/>
  <c r="L12" i="14"/>
  <c r="N7" i="14"/>
  <c r="D8" i="14"/>
  <c r="E8" i="14" s="1"/>
  <c r="F7" i="14"/>
  <c r="E7" i="14"/>
  <c r="D7" i="14"/>
  <c r="G7" i="14" s="1"/>
  <c r="D6" i="14"/>
  <c r="D5" i="14"/>
  <c r="E1" i="14"/>
  <c r="K5" i="14" s="1"/>
  <c r="J5" i="14" l="1"/>
  <c r="H8" i="14"/>
  <c r="H6" i="14"/>
  <c r="I7" i="14"/>
  <c r="I6" i="14"/>
  <c r="K6" i="14" s="1"/>
  <c r="I8" i="14"/>
  <c r="N6" i="14"/>
  <c r="F8" i="14"/>
  <c r="E5" i="14"/>
  <c r="E6" i="14"/>
  <c r="F6" i="14"/>
  <c r="G8" i="14"/>
  <c r="F5" i="14"/>
  <c r="G5" i="14"/>
  <c r="G6" i="14"/>
  <c r="I50" i="13"/>
  <c r="I51" i="13"/>
  <c r="I52" i="13"/>
  <c r="I49" i="13"/>
  <c r="F50" i="13"/>
  <c r="F51" i="13"/>
  <c r="F46" i="13"/>
  <c r="F52" i="13"/>
  <c r="F47" i="13"/>
  <c r="F48" i="13"/>
  <c r="F49" i="13"/>
  <c r="K29" i="13"/>
  <c r="L29" i="13"/>
  <c r="M29" i="13"/>
  <c r="N29" i="13"/>
  <c r="K30" i="13"/>
  <c r="L30" i="13"/>
  <c r="M30" i="13"/>
  <c r="N30" i="13"/>
  <c r="K31" i="13"/>
  <c r="L31" i="13"/>
  <c r="M31" i="13"/>
  <c r="N31" i="13"/>
  <c r="K32" i="13"/>
  <c r="L32" i="13"/>
  <c r="M32" i="13"/>
  <c r="N32" i="13"/>
  <c r="K33" i="13"/>
  <c r="L33" i="13"/>
  <c r="M33" i="13"/>
  <c r="N33" i="13"/>
  <c r="K34" i="13"/>
  <c r="L34" i="13"/>
  <c r="M34" i="13"/>
  <c r="N34" i="13"/>
  <c r="K35" i="13"/>
  <c r="L35" i="13"/>
  <c r="M35" i="13"/>
  <c r="N35" i="13"/>
  <c r="K42" i="13"/>
  <c r="L42" i="13"/>
  <c r="M42" i="13"/>
  <c r="N42" i="13"/>
  <c r="M28" i="13"/>
  <c r="L28" i="13"/>
  <c r="K28" i="13"/>
  <c r="B39" i="13"/>
  <c r="L39" i="13" s="1"/>
  <c r="B38" i="13"/>
  <c r="K38" i="13" s="1"/>
  <c r="A37" i="13"/>
  <c r="L37" i="13" s="1"/>
  <c r="A36" i="13"/>
  <c r="B41" i="13"/>
  <c r="A41" i="13"/>
  <c r="B40" i="13"/>
  <c r="A40" i="13"/>
  <c r="L40" i="13" s="1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28" i="13"/>
  <c r="N28" i="13"/>
  <c r="B24" i="13"/>
  <c r="B23" i="13"/>
  <c r="B22" i="13"/>
  <c r="B21" i="13"/>
  <c r="D24" i="13"/>
  <c r="D22" i="13"/>
  <c r="D23" i="13"/>
  <c r="D21" i="13"/>
  <c r="E19" i="13"/>
  <c r="G19" i="13" s="1"/>
  <c r="E20" i="13"/>
  <c r="G20" i="13" s="1"/>
  <c r="E18" i="13"/>
  <c r="G18" i="13" s="1"/>
  <c r="K5" i="13"/>
  <c r="M5" i="13"/>
  <c r="K6" i="13"/>
  <c r="M6" i="13"/>
  <c r="K7" i="13"/>
  <c r="M7" i="13"/>
  <c r="K8" i="13"/>
  <c r="M8" i="13"/>
  <c r="K9" i="13"/>
  <c r="M9" i="13"/>
  <c r="K10" i="13"/>
  <c r="M10" i="13"/>
  <c r="K11" i="13"/>
  <c r="M11" i="13"/>
  <c r="K12" i="13"/>
  <c r="M12" i="13"/>
  <c r="K13" i="13"/>
  <c r="M13" i="13"/>
  <c r="K14" i="13"/>
  <c r="M14" i="13"/>
  <c r="N4" i="13"/>
  <c r="M4" i="13"/>
  <c r="L4" i="13"/>
  <c r="K4" i="13"/>
  <c r="J4" i="13"/>
  <c r="I4" i="13"/>
  <c r="H4" i="13"/>
  <c r="G4" i="13"/>
  <c r="G6" i="13"/>
  <c r="I6" i="13"/>
  <c r="G7" i="13"/>
  <c r="I7" i="13"/>
  <c r="G8" i="13"/>
  <c r="I8" i="13"/>
  <c r="G9" i="13"/>
  <c r="I9" i="13"/>
  <c r="G10" i="13"/>
  <c r="I10" i="13"/>
  <c r="G11" i="13"/>
  <c r="I11" i="13"/>
  <c r="G12" i="13"/>
  <c r="I12" i="13"/>
  <c r="G13" i="13"/>
  <c r="I13" i="13"/>
  <c r="G14" i="13"/>
  <c r="I14" i="13"/>
  <c r="B14" i="13"/>
  <c r="D14" i="13"/>
  <c r="F14" i="13"/>
  <c r="F11" i="13"/>
  <c r="F9" i="13"/>
  <c r="F8" i="13"/>
  <c r="F7" i="13"/>
  <c r="F13" i="13"/>
  <c r="F12" i="13"/>
  <c r="F10" i="13"/>
  <c r="F6" i="13"/>
  <c r="D11" i="13"/>
  <c r="D9" i="13"/>
  <c r="D8" i="13"/>
  <c r="D7" i="13"/>
  <c r="D13" i="13"/>
  <c r="D12" i="13"/>
  <c r="D10" i="13"/>
  <c r="D6" i="13"/>
  <c r="B13" i="13"/>
  <c r="B12" i="13"/>
  <c r="B11" i="13"/>
  <c r="B10" i="13"/>
  <c r="B9" i="13"/>
  <c r="B8" i="13"/>
  <c r="J8" i="13" s="1"/>
  <c r="B7" i="13"/>
  <c r="B6" i="13"/>
  <c r="J6" i="13" s="1"/>
  <c r="B5" i="13"/>
  <c r="D5" i="13"/>
  <c r="F5" i="13"/>
  <c r="I5" i="13"/>
  <c r="G5" i="13"/>
  <c r="D6" i="12"/>
  <c r="D5" i="12"/>
  <c r="C17" i="12"/>
  <c r="C18" i="12"/>
  <c r="C19" i="12"/>
  <c r="C20" i="12"/>
  <c r="C21" i="12"/>
  <c r="C16" i="12"/>
  <c r="C13" i="12"/>
  <c r="C12" i="12"/>
  <c r="C11" i="12"/>
  <c r="C10" i="12"/>
  <c r="C9" i="12"/>
  <c r="C8" i="12"/>
  <c r="D4" i="12"/>
  <c r="D3" i="12"/>
  <c r="C4" i="12"/>
  <c r="C5" i="12"/>
  <c r="C6" i="12"/>
  <c r="C3" i="12"/>
  <c r="B6" i="12"/>
  <c r="B5" i="12"/>
  <c r="B3" i="12"/>
  <c r="B4" i="12"/>
  <c r="A6" i="12"/>
  <c r="A5" i="12"/>
  <c r="A4" i="12"/>
  <c r="A3" i="12"/>
  <c r="M7" i="14" l="1"/>
  <c r="M8" i="14"/>
  <c r="M6" i="14"/>
  <c r="M5" i="14"/>
  <c r="L8" i="14"/>
  <c r="L7" i="14"/>
  <c r="N8" i="14"/>
  <c r="L5" i="14"/>
  <c r="M41" i="13"/>
  <c r="E22" i="13"/>
  <c r="N9" i="13"/>
  <c r="P34" i="13"/>
  <c r="T34" i="13" s="1"/>
  <c r="P30" i="13"/>
  <c r="T30" i="13" s="1"/>
  <c r="N38" i="13"/>
  <c r="J10" i="13"/>
  <c r="H7" i="13"/>
  <c r="K39" i="13"/>
  <c r="K37" i="13"/>
  <c r="E23" i="13"/>
  <c r="N5" i="13"/>
  <c r="H6" i="13"/>
  <c r="P42" i="13"/>
  <c r="T42" i="13" s="1"/>
  <c r="H12" i="13"/>
  <c r="L12" i="13"/>
  <c r="H13" i="13"/>
  <c r="J14" i="13"/>
  <c r="L41" i="13"/>
  <c r="K40" i="13"/>
  <c r="G22" i="13"/>
  <c r="L5" i="13"/>
  <c r="G23" i="13"/>
  <c r="M38" i="13"/>
  <c r="N11" i="13"/>
  <c r="L8" i="13"/>
  <c r="L13" i="13"/>
  <c r="N6" i="13"/>
  <c r="J12" i="13"/>
  <c r="E21" i="13"/>
  <c r="G21" i="13" s="1"/>
  <c r="N13" i="13"/>
  <c r="L9" i="13"/>
  <c r="L6" i="13"/>
  <c r="N40" i="13"/>
  <c r="H9" i="13"/>
  <c r="M40" i="13"/>
  <c r="N7" i="13"/>
  <c r="L10" i="13"/>
  <c r="L14" i="13"/>
  <c r="P35" i="13"/>
  <c r="T35" i="13" s="1"/>
  <c r="N36" i="13"/>
  <c r="M36" i="13"/>
  <c r="K41" i="13"/>
  <c r="P32" i="13"/>
  <c r="T32" i="13" s="1"/>
  <c r="L38" i="13"/>
  <c r="L36" i="13"/>
  <c r="K36" i="13"/>
  <c r="P28" i="13"/>
  <c r="T28" i="13" s="1"/>
  <c r="N41" i="13"/>
  <c r="N39" i="13"/>
  <c r="N37" i="13"/>
  <c r="M39" i="13"/>
  <c r="M37" i="13"/>
  <c r="P33" i="13"/>
  <c r="T33" i="13" s="1"/>
  <c r="P31" i="13"/>
  <c r="T31" i="13" s="1"/>
  <c r="P29" i="13"/>
  <c r="T29" i="13" s="1"/>
  <c r="H14" i="13"/>
  <c r="J7" i="13"/>
  <c r="H10" i="13"/>
  <c r="H8" i="13"/>
  <c r="L11" i="13"/>
  <c r="L7" i="13"/>
  <c r="J13" i="13"/>
  <c r="J11" i="13"/>
  <c r="J9" i="13"/>
  <c r="N14" i="13"/>
  <c r="N12" i="13"/>
  <c r="N10" i="13"/>
  <c r="N8" i="13"/>
  <c r="H11" i="13"/>
  <c r="E24" i="13"/>
  <c r="G24" i="13" s="1"/>
  <c r="J5" i="13"/>
  <c r="H5" i="13"/>
  <c r="L6" i="14" l="1"/>
  <c r="P40" i="13"/>
  <c r="T40" i="13" s="1"/>
  <c r="P38" i="13"/>
  <c r="T38" i="13" s="1"/>
  <c r="P37" i="13"/>
  <c r="T37" i="13" s="1"/>
  <c r="P41" i="13"/>
  <c r="T41" i="13" s="1"/>
  <c r="P39" i="13"/>
  <c r="T39" i="13" s="1"/>
  <c r="P36" i="13"/>
  <c r="T36" i="13" s="1"/>
  <c r="I51" i="4"/>
  <c r="I52" i="4"/>
  <c r="I53" i="4"/>
  <c r="I54" i="4"/>
  <c r="I55" i="4"/>
  <c r="I56" i="4"/>
  <c r="I57" i="4"/>
  <c r="I58" i="4"/>
  <c r="I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G50" i="4"/>
  <c r="F50" i="4"/>
  <c r="E58" i="4"/>
  <c r="E57" i="4"/>
  <c r="E56" i="4"/>
  <c r="E55" i="4"/>
  <c r="E54" i="4"/>
  <c r="E53" i="4"/>
  <c r="E52" i="4"/>
  <c r="E51" i="4"/>
  <c r="D39" i="4"/>
  <c r="C46" i="4"/>
  <c r="E45" i="4"/>
  <c r="D45" i="4"/>
  <c r="G45" i="4" s="1"/>
  <c r="C45" i="4"/>
  <c r="C44" i="4"/>
  <c r="E43" i="4"/>
  <c r="D43" i="4"/>
  <c r="G43" i="4" s="1"/>
  <c r="C43" i="4"/>
  <c r="C42" i="4"/>
  <c r="E41" i="4"/>
  <c r="D41" i="4"/>
  <c r="G41" i="4" s="1"/>
  <c r="C41" i="4"/>
  <c r="C40" i="4"/>
  <c r="E39" i="4"/>
  <c r="G39" i="4"/>
  <c r="C39" i="4"/>
  <c r="E38" i="4"/>
  <c r="D38" i="4"/>
  <c r="G38" i="4" s="1"/>
  <c r="G21" i="1"/>
  <c r="F21" i="1"/>
  <c r="E21" i="1"/>
  <c r="F26" i="1"/>
  <c r="G20" i="1"/>
  <c r="F20" i="1"/>
  <c r="K20" i="1" s="1"/>
  <c r="M20" i="1" s="1"/>
  <c r="E20" i="1"/>
  <c r="L20" i="1" s="1"/>
  <c r="G19" i="1"/>
  <c r="F19" i="1"/>
  <c r="E19" i="1"/>
  <c r="L19" i="1" s="1"/>
  <c r="I16" i="1"/>
  <c r="G26" i="1"/>
  <c r="E26" i="1"/>
  <c r="G25" i="1"/>
  <c r="F25" i="1"/>
  <c r="H25" i="1" s="1"/>
  <c r="J25" i="1" s="1"/>
  <c r="E25" i="1"/>
  <c r="I25" i="1" s="1"/>
  <c r="G16" i="1"/>
  <c r="H16" i="1" s="1"/>
  <c r="J16" i="1" s="1"/>
  <c r="K16" i="1" s="1"/>
  <c r="F16" i="1"/>
  <c r="E16" i="1"/>
  <c r="G15" i="1"/>
  <c r="F15" i="1"/>
  <c r="E15" i="1"/>
  <c r="H15" i="1" s="1"/>
  <c r="E12" i="1"/>
  <c r="F12" i="1"/>
  <c r="G14" i="1"/>
  <c r="H14" i="1" s="1"/>
  <c r="F14" i="1"/>
  <c r="E14" i="1"/>
  <c r="D40" i="4" l="1"/>
  <c r="G40" i="4" s="1"/>
  <c r="D42" i="4"/>
  <c r="G42" i="4" s="1"/>
  <c r="D44" i="4"/>
  <c r="G44" i="4" s="1"/>
  <c r="D46" i="4"/>
  <c r="E40" i="4"/>
  <c r="E42" i="4"/>
  <c r="E44" i="4"/>
  <c r="E46" i="4"/>
  <c r="G46" i="4" s="1"/>
  <c r="I26" i="1"/>
  <c r="H19" i="1"/>
  <c r="I21" i="1"/>
  <c r="K21" i="1"/>
  <c r="H21" i="1"/>
  <c r="L21" i="1"/>
  <c r="O20" i="1"/>
  <c r="N20" i="1"/>
  <c r="P20" i="1" s="1"/>
  <c r="I20" i="1"/>
  <c r="K19" i="1"/>
  <c r="M19" i="1" s="1"/>
  <c r="O19" i="1" s="1"/>
  <c r="I19" i="1"/>
  <c r="J19" i="1" s="1"/>
  <c r="H20" i="1"/>
  <c r="I15" i="1"/>
  <c r="J15" i="1" s="1"/>
  <c r="K15" i="1" s="1"/>
  <c r="I14" i="1"/>
  <c r="J14" i="1" s="1"/>
  <c r="K14" i="1" s="1"/>
  <c r="L14" i="1" s="1"/>
  <c r="N14" i="1" s="1"/>
  <c r="H26" i="1"/>
  <c r="K26" i="1" s="1"/>
  <c r="G12" i="1"/>
  <c r="H12" i="1" s="1"/>
  <c r="I12" i="1" s="1"/>
  <c r="N19" i="1" l="1"/>
  <c r="P19" i="1" s="1"/>
  <c r="J20" i="1"/>
  <c r="M21" i="1"/>
  <c r="O21" i="1" s="1"/>
  <c r="J21" i="1"/>
  <c r="N26" i="1"/>
  <c r="M26" i="1"/>
  <c r="L26" i="1"/>
  <c r="M25" i="1"/>
  <c r="L16" i="1"/>
  <c r="K25" i="1"/>
  <c r="N25" i="1" s="1"/>
  <c r="J26" i="1"/>
  <c r="L15" i="1"/>
  <c r="N21" i="1" l="1"/>
  <c r="P21" i="1" s="1"/>
  <c r="L25" i="1"/>
  <c r="P26" i="1"/>
  <c r="J12" i="1" l="1"/>
  <c r="E8" i="1" l="1"/>
  <c r="D8" i="1"/>
  <c r="H8" i="1" s="1"/>
  <c r="E7" i="1"/>
  <c r="D7" i="1"/>
  <c r="H7" i="1" s="1"/>
  <c r="E4" i="1"/>
  <c r="D4" i="1"/>
  <c r="D6" i="1"/>
  <c r="H6" i="1" s="1"/>
  <c r="E6" i="1"/>
  <c r="E5" i="1"/>
  <c r="D5" i="1"/>
  <c r="E3" i="1"/>
  <c r="D3" i="1"/>
  <c r="F4" i="9"/>
  <c r="G4" i="9"/>
  <c r="F5" i="9"/>
  <c r="G5" i="9"/>
  <c r="F6" i="9"/>
  <c r="G6" i="9"/>
  <c r="F7" i="9"/>
  <c r="G7" i="9"/>
  <c r="F8" i="9"/>
  <c r="G8" i="9"/>
  <c r="F9" i="9"/>
  <c r="G9" i="9"/>
  <c r="F10" i="9"/>
  <c r="G10" i="9"/>
  <c r="F11" i="9"/>
  <c r="G11" i="9"/>
  <c r="F12" i="9"/>
  <c r="G12" i="9"/>
  <c r="G3" i="9"/>
  <c r="F3" i="9"/>
  <c r="A12" i="9"/>
  <c r="D12" i="9" s="1"/>
  <c r="C11" i="9"/>
  <c r="A11" i="9"/>
  <c r="D11" i="9" s="1"/>
  <c r="D10" i="9"/>
  <c r="C10" i="9"/>
  <c r="D9" i="9"/>
  <c r="C9" i="9"/>
  <c r="D8" i="9"/>
  <c r="C8" i="9"/>
  <c r="C7" i="9"/>
  <c r="D7" i="9"/>
  <c r="D6" i="9"/>
  <c r="C6" i="9"/>
  <c r="A8" i="9"/>
  <c r="A9" i="9"/>
  <c r="D5" i="9"/>
  <c r="C5" i="9"/>
  <c r="D4" i="9"/>
  <c r="C4" i="9"/>
  <c r="A5" i="9"/>
  <c r="A4" i="9"/>
  <c r="D3" i="9"/>
  <c r="C3" i="9"/>
  <c r="C118" i="7"/>
  <c r="A121" i="7"/>
  <c r="A120" i="7"/>
  <c r="A119" i="7"/>
  <c r="A118" i="7"/>
  <c r="A117" i="7"/>
  <c r="C111" i="7"/>
  <c r="B113" i="7"/>
  <c r="B112" i="7"/>
  <c r="B111" i="7"/>
  <c r="B110" i="7"/>
  <c r="A113" i="7"/>
  <c r="C113" i="7" s="1"/>
  <c r="A111" i="7"/>
  <c r="A112" i="7"/>
  <c r="C112" i="7" s="1"/>
  <c r="A110" i="7"/>
  <c r="C110" i="7" s="1"/>
  <c r="B109" i="7"/>
  <c r="B108" i="7"/>
  <c r="B107" i="7"/>
  <c r="A109" i="7"/>
  <c r="C109" i="7" s="1"/>
  <c r="A107" i="7"/>
  <c r="C107" i="7" s="1"/>
  <c r="A108" i="7"/>
  <c r="C108" i="7" s="1"/>
  <c r="B106" i="7"/>
  <c r="C106" i="7" s="1"/>
  <c r="A106" i="7"/>
  <c r="D95" i="7"/>
  <c r="E95" i="7"/>
  <c r="G95" i="7" s="1"/>
  <c r="D96" i="7"/>
  <c r="G96" i="7" s="1"/>
  <c r="D100" i="7"/>
  <c r="D101" i="7"/>
  <c r="E94" i="7"/>
  <c r="D94" i="7"/>
  <c r="C102" i="7"/>
  <c r="D102" i="7" s="1"/>
  <c r="C101" i="7"/>
  <c r="E101" i="7" s="1"/>
  <c r="C100" i="7"/>
  <c r="E100" i="7" s="1"/>
  <c r="C99" i="7"/>
  <c r="C98" i="7"/>
  <c r="D98" i="7" s="1"/>
  <c r="C97" i="7"/>
  <c r="C96" i="7"/>
  <c r="E96" i="7" s="1"/>
  <c r="C95" i="7"/>
  <c r="E82" i="7"/>
  <c r="B84" i="7"/>
  <c r="C84" i="7"/>
  <c r="C86" i="7"/>
  <c r="C87" i="7"/>
  <c r="B88" i="7"/>
  <c r="C88" i="7"/>
  <c r="C90" i="7"/>
  <c r="C82" i="7"/>
  <c r="B82" i="7"/>
  <c r="A90" i="7"/>
  <c r="A89" i="7"/>
  <c r="B89" i="7" s="1"/>
  <c r="A88" i="7"/>
  <c r="E88" i="7" s="1"/>
  <c r="A87" i="7"/>
  <c r="B87" i="7" s="1"/>
  <c r="E87" i="7" s="1"/>
  <c r="A86" i="7"/>
  <c r="B86" i="7" s="1"/>
  <c r="E86" i="7" s="1"/>
  <c r="A85" i="7"/>
  <c r="B85" i="7" s="1"/>
  <c r="A84" i="7"/>
  <c r="E84" i="7" s="1"/>
  <c r="A83" i="7"/>
  <c r="B83" i="7" s="1"/>
  <c r="C12" i="9" l="1"/>
  <c r="E83" i="7"/>
  <c r="E99" i="7"/>
  <c r="C83" i="7"/>
  <c r="D99" i="7"/>
  <c r="G99" i="7" s="1"/>
  <c r="E102" i="7"/>
  <c r="G102" i="7" s="1"/>
  <c r="E98" i="7"/>
  <c r="G98" i="7" s="1"/>
  <c r="B90" i="7"/>
  <c r="E90" i="7" s="1"/>
  <c r="G100" i="7"/>
  <c r="E97" i="7"/>
  <c r="C89" i="7"/>
  <c r="C85" i="7"/>
  <c r="E85" i="7" s="1"/>
  <c r="E89" i="7"/>
  <c r="G101" i="7"/>
  <c r="D97" i="7"/>
  <c r="G97" i="7" s="1"/>
  <c r="G94" i="7"/>
  <c r="P108" i="5" l="1"/>
  <c r="A107" i="5"/>
  <c r="E109" i="5"/>
  <c r="F109" i="5"/>
  <c r="G109" i="5" s="1"/>
  <c r="E110" i="5"/>
  <c r="F110" i="5"/>
  <c r="E111" i="5"/>
  <c r="O111" i="5" s="1"/>
  <c r="F111" i="5"/>
  <c r="G111" i="5" s="1"/>
  <c r="E112" i="5"/>
  <c r="F112" i="5"/>
  <c r="E113" i="5"/>
  <c r="F113" i="5"/>
  <c r="E114" i="5"/>
  <c r="F114" i="5"/>
  <c r="E115" i="5"/>
  <c r="O115" i="5" s="1"/>
  <c r="F115" i="5"/>
  <c r="E116" i="5"/>
  <c r="F116" i="5"/>
  <c r="E122" i="5"/>
  <c r="O122" i="5" s="1"/>
  <c r="F122" i="5"/>
  <c r="F108" i="5"/>
  <c r="E108" i="5"/>
  <c r="O109" i="5"/>
  <c r="O110" i="5"/>
  <c r="O112" i="5"/>
  <c r="O113" i="5"/>
  <c r="O114" i="5"/>
  <c r="O116" i="5"/>
  <c r="E106" i="5"/>
  <c r="F106" i="5"/>
  <c r="J108" i="5"/>
  <c r="K108" i="5" s="1"/>
  <c r="H109" i="5"/>
  <c r="J109" i="5"/>
  <c r="K109" i="5" s="1"/>
  <c r="H110" i="5"/>
  <c r="J110" i="5"/>
  <c r="K110" i="5" s="1"/>
  <c r="J111" i="5"/>
  <c r="K111" i="5" s="1"/>
  <c r="H112" i="5"/>
  <c r="J112" i="5"/>
  <c r="K112" i="5" s="1"/>
  <c r="G113" i="5"/>
  <c r="M113" i="5" s="1"/>
  <c r="H113" i="5"/>
  <c r="J113" i="5"/>
  <c r="K113" i="5" s="1"/>
  <c r="H114" i="5"/>
  <c r="J114" i="5"/>
  <c r="K114" i="5" s="1"/>
  <c r="G115" i="5"/>
  <c r="J115" i="5"/>
  <c r="K115" i="5" s="1"/>
  <c r="H116" i="5"/>
  <c r="B107" i="5"/>
  <c r="C107" i="5"/>
  <c r="E107" i="5" s="1"/>
  <c r="D107" i="5"/>
  <c r="F107" i="5" s="1"/>
  <c r="G107" i="5" s="1"/>
  <c r="A117" i="5"/>
  <c r="B117" i="5"/>
  <c r="C117" i="5"/>
  <c r="E117" i="5" s="1"/>
  <c r="H117" i="5" s="1"/>
  <c r="D117" i="5"/>
  <c r="F117" i="5" s="1"/>
  <c r="J117" i="5"/>
  <c r="K117" i="5" s="1"/>
  <c r="A118" i="5"/>
  <c r="B118" i="5"/>
  <c r="C118" i="5"/>
  <c r="E118" i="5" s="1"/>
  <c r="O118" i="5" s="1"/>
  <c r="D118" i="5"/>
  <c r="F118" i="5" s="1"/>
  <c r="J118" i="5"/>
  <c r="K118" i="5" s="1"/>
  <c r="A119" i="5"/>
  <c r="B119" i="5"/>
  <c r="C119" i="5"/>
  <c r="E119" i="5" s="1"/>
  <c r="D119" i="5"/>
  <c r="F119" i="5" s="1"/>
  <c r="G119" i="5" s="1"/>
  <c r="J119" i="5"/>
  <c r="K119" i="5" s="1"/>
  <c r="A120" i="5"/>
  <c r="O120" i="5" s="1"/>
  <c r="B120" i="5"/>
  <c r="C120" i="5"/>
  <c r="E120" i="5" s="1"/>
  <c r="D120" i="5"/>
  <c r="F120" i="5" s="1"/>
  <c r="J120" i="5"/>
  <c r="K120" i="5"/>
  <c r="A121" i="5"/>
  <c r="B121" i="5"/>
  <c r="C121" i="5"/>
  <c r="E121" i="5" s="1"/>
  <c r="H121" i="5" s="1"/>
  <c r="D121" i="5"/>
  <c r="F121" i="5" s="1"/>
  <c r="J121" i="5"/>
  <c r="K121" i="5" s="1"/>
  <c r="A122" i="5"/>
  <c r="B122" i="5"/>
  <c r="C122" i="5"/>
  <c r="D122" i="5"/>
  <c r="J122" i="5"/>
  <c r="K122" i="5" s="1"/>
  <c r="A123" i="5"/>
  <c r="O123" i="5" s="1"/>
  <c r="B123" i="5"/>
  <c r="C123" i="5"/>
  <c r="E123" i="5" s="1"/>
  <c r="D123" i="5"/>
  <c r="F123" i="5" s="1"/>
  <c r="G123" i="5" s="1"/>
  <c r="J123" i="5"/>
  <c r="K123" i="5"/>
  <c r="A124" i="5"/>
  <c r="B124" i="5"/>
  <c r="C124" i="5"/>
  <c r="E124" i="5" s="1"/>
  <c r="D124" i="5"/>
  <c r="F124" i="5" s="1"/>
  <c r="J124" i="5"/>
  <c r="K124" i="5"/>
  <c r="A125" i="5"/>
  <c r="B125" i="5"/>
  <c r="C125" i="5"/>
  <c r="E125" i="5" s="1"/>
  <c r="H125" i="5" s="1"/>
  <c r="D125" i="5"/>
  <c r="F125" i="5" s="1"/>
  <c r="G39" i="10"/>
  <c r="G40" i="10"/>
  <c r="G41" i="10"/>
  <c r="G42" i="10"/>
  <c r="G43" i="10"/>
  <c r="G44" i="10"/>
  <c r="G45" i="10"/>
  <c r="G38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D44" i="10"/>
  <c r="E44" i="10"/>
  <c r="D45" i="10"/>
  <c r="E45" i="10"/>
  <c r="E37" i="10"/>
  <c r="D37" i="10"/>
  <c r="C38" i="10"/>
  <c r="C39" i="10"/>
  <c r="C40" i="10"/>
  <c r="C41" i="10"/>
  <c r="C42" i="10"/>
  <c r="C43" i="10"/>
  <c r="C44" i="10"/>
  <c r="C45" i="10"/>
  <c r="C37" i="10"/>
  <c r="D83" i="5"/>
  <c r="C83" i="5"/>
  <c r="B83" i="5"/>
  <c r="A83" i="5"/>
  <c r="D82" i="5"/>
  <c r="C82" i="5"/>
  <c r="B82" i="5"/>
  <c r="A82" i="5"/>
  <c r="E44" i="5"/>
  <c r="F44" i="5"/>
  <c r="G44" i="5"/>
  <c r="E45" i="5"/>
  <c r="F45" i="5"/>
  <c r="G45" i="5"/>
  <c r="E100" i="5"/>
  <c r="F101" i="5"/>
  <c r="G101" i="5"/>
  <c r="A84" i="5"/>
  <c r="B84" i="5"/>
  <c r="C84" i="5"/>
  <c r="D84" i="5"/>
  <c r="A85" i="5"/>
  <c r="F85" i="5" s="1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G93" i="5" s="1"/>
  <c r="D93" i="5"/>
  <c r="A94" i="5"/>
  <c r="B94" i="5"/>
  <c r="C94" i="5"/>
  <c r="D94" i="5"/>
  <c r="A95" i="5"/>
  <c r="B95" i="5"/>
  <c r="C95" i="5"/>
  <c r="G95" i="5" s="1"/>
  <c r="D95" i="5"/>
  <c r="A96" i="5"/>
  <c r="B96" i="5"/>
  <c r="C96" i="5"/>
  <c r="D96" i="5"/>
  <c r="A97" i="5"/>
  <c r="F97" i="5" s="1"/>
  <c r="B97" i="5"/>
  <c r="C97" i="5"/>
  <c r="G97" i="5" s="1"/>
  <c r="D97" i="5"/>
  <c r="A98" i="5"/>
  <c r="B98" i="5"/>
  <c r="C98" i="5"/>
  <c r="D98" i="5"/>
  <c r="A99" i="5"/>
  <c r="F99" i="5" s="1"/>
  <c r="B99" i="5"/>
  <c r="C99" i="5"/>
  <c r="G99" i="5" s="1"/>
  <c r="D99" i="5"/>
  <c r="B81" i="5"/>
  <c r="C81" i="5"/>
  <c r="D81" i="5"/>
  <c r="A81" i="5"/>
  <c r="E77" i="5"/>
  <c r="F77" i="5" s="1"/>
  <c r="I77" i="5" s="1"/>
  <c r="E76" i="5"/>
  <c r="F76" i="5" s="1"/>
  <c r="I76" i="5" s="1"/>
  <c r="E75" i="5"/>
  <c r="F75" i="5" s="1"/>
  <c r="I75" i="5" s="1"/>
  <c r="E74" i="5"/>
  <c r="F74" i="5" s="1"/>
  <c r="I74" i="5" s="1"/>
  <c r="E73" i="5"/>
  <c r="F73" i="5" s="1"/>
  <c r="I73" i="5" s="1"/>
  <c r="E72" i="5"/>
  <c r="F72" i="5" s="1"/>
  <c r="I72" i="5" s="1"/>
  <c r="E71" i="5"/>
  <c r="F71" i="5" s="1"/>
  <c r="I71" i="5" s="1"/>
  <c r="E70" i="5"/>
  <c r="F70" i="5" s="1"/>
  <c r="I70" i="5" s="1"/>
  <c r="E69" i="5"/>
  <c r="F69" i="5" s="1"/>
  <c r="I69" i="5" s="1"/>
  <c r="E68" i="5"/>
  <c r="F68" i="5" s="1"/>
  <c r="I68" i="5" s="1"/>
  <c r="E67" i="5"/>
  <c r="F67" i="5" s="1"/>
  <c r="I67" i="5" s="1"/>
  <c r="E66" i="5"/>
  <c r="G66" i="5" s="1"/>
  <c r="J66" i="5" s="1"/>
  <c r="E65" i="5"/>
  <c r="G65" i="5" s="1"/>
  <c r="J65" i="5" s="1"/>
  <c r="O107" i="5" l="1"/>
  <c r="O121" i="5"/>
  <c r="O124" i="5"/>
  <c r="O119" i="5"/>
  <c r="O125" i="5"/>
  <c r="O117" i="5"/>
  <c r="H115" i="5"/>
  <c r="P115" i="5" s="1"/>
  <c r="F66" i="5"/>
  <c r="I66" i="5" s="1"/>
  <c r="F81" i="5"/>
  <c r="P109" i="5"/>
  <c r="P113" i="5"/>
  <c r="M109" i="5"/>
  <c r="H111" i="5"/>
  <c r="M111" i="5" s="1"/>
  <c r="O108" i="5"/>
  <c r="H108" i="5"/>
  <c r="G121" i="5"/>
  <c r="P121" i="5" s="1"/>
  <c r="G124" i="5"/>
  <c r="P124" i="5" s="1"/>
  <c r="H122" i="5"/>
  <c r="H120" i="5"/>
  <c r="H124" i="5"/>
  <c r="H107" i="5"/>
  <c r="P107" i="5" s="1"/>
  <c r="G125" i="5"/>
  <c r="P125" i="5" s="1"/>
  <c r="G117" i="5"/>
  <c r="P117" i="5" s="1"/>
  <c r="H119" i="5"/>
  <c r="P119" i="5" s="1"/>
  <c r="H123" i="5"/>
  <c r="P123" i="5" s="1"/>
  <c r="G120" i="5"/>
  <c r="P120" i="5" s="1"/>
  <c r="H118" i="5"/>
  <c r="E83" i="5"/>
  <c r="G116" i="5"/>
  <c r="P116" i="5" s="1"/>
  <c r="L115" i="5"/>
  <c r="G114" i="5"/>
  <c r="L113" i="5"/>
  <c r="G112" i="5"/>
  <c r="L111" i="5"/>
  <c r="G110" i="5"/>
  <c r="L109" i="5"/>
  <c r="G108" i="5"/>
  <c r="M108" i="5" s="1"/>
  <c r="H106" i="5"/>
  <c r="G83" i="5"/>
  <c r="G122" i="5"/>
  <c r="G118" i="5"/>
  <c r="P118" i="5" s="1"/>
  <c r="G106" i="5"/>
  <c r="H44" i="5"/>
  <c r="G91" i="5"/>
  <c r="G89" i="5"/>
  <c r="G87" i="5"/>
  <c r="E82" i="5"/>
  <c r="L114" i="5"/>
  <c r="L112" i="5"/>
  <c r="L110" i="5"/>
  <c r="L108" i="5"/>
  <c r="G82" i="5"/>
  <c r="H82" i="5" s="1"/>
  <c r="I82" i="5" s="1"/>
  <c r="J82" i="5" s="1"/>
  <c r="F83" i="5"/>
  <c r="F82" i="5"/>
  <c r="G74" i="5"/>
  <c r="J74" i="5" s="1"/>
  <c r="G71" i="5"/>
  <c r="J71" i="5" s="1"/>
  <c r="G96" i="5"/>
  <c r="E95" i="5"/>
  <c r="E93" i="5"/>
  <c r="E91" i="5"/>
  <c r="E89" i="5"/>
  <c r="E87" i="5"/>
  <c r="E85" i="5"/>
  <c r="H45" i="5"/>
  <c r="G90" i="5"/>
  <c r="G86" i="5"/>
  <c r="E98" i="5"/>
  <c r="E96" i="5"/>
  <c r="F94" i="5"/>
  <c r="E92" i="5"/>
  <c r="F90" i="5"/>
  <c r="E88" i="5"/>
  <c r="E86" i="5"/>
  <c r="E84" i="5"/>
  <c r="G94" i="5"/>
  <c r="G84" i="5"/>
  <c r="G92" i="5"/>
  <c r="G88" i="5"/>
  <c r="G85" i="5"/>
  <c r="H85" i="5" s="1"/>
  <c r="E99" i="5"/>
  <c r="H99" i="5" s="1"/>
  <c r="G98" i="5"/>
  <c r="G81" i="5"/>
  <c r="G75" i="5"/>
  <c r="J75" i="5" s="1"/>
  <c r="E97" i="5"/>
  <c r="H97" i="5" s="1"/>
  <c r="F92" i="5"/>
  <c r="E90" i="5"/>
  <c r="E81" i="5"/>
  <c r="F96" i="5"/>
  <c r="E94" i="5"/>
  <c r="F87" i="5"/>
  <c r="G73" i="5"/>
  <c r="J73" i="5" s="1"/>
  <c r="F98" i="5"/>
  <c r="F89" i="5"/>
  <c r="F91" i="5"/>
  <c r="F84" i="5"/>
  <c r="G69" i="5"/>
  <c r="J69" i="5" s="1"/>
  <c r="F93" i="5"/>
  <c r="F86" i="5"/>
  <c r="G77" i="5"/>
  <c r="J77" i="5" s="1"/>
  <c r="F95" i="5"/>
  <c r="F88" i="5"/>
  <c r="G67" i="5"/>
  <c r="J67" i="5" s="1"/>
  <c r="G100" i="5"/>
  <c r="E101" i="5"/>
  <c r="H101" i="5" s="1"/>
  <c r="I101" i="5" s="1"/>
  <c r="J101" i="5" s="1"/>
  <c r="F100" i="5"/>
  <c r="F65" i="5"/>
  <c r="I65" i="5" s="1"/>
  <c r="G70" i="5"/>
  <c r="J70" i="5" s="1"/>
  <c r="G76" i="5"/>
  <c r="J76" i="5" s="1"/>
  <c r="G72" i="5"/>
  <c r="J72" i="5" s="1"/>
  <c r="G68" i="5"/>
  <c r="J68" i="5" s="1"/>
  <c r="G55" i="5"/>
  <c r="F55" i="5"/>
  <c r="E55" i="5"/>
  <c r="G56" i="5"/>
  <c r="F56" i="5"/>
  <c r="E56" i="5"/>
  <c r="G54" i="5"/>
  <c r="F54" i="5"/>
  <c r="E54" i="5"/>
  <c r="G53" i="5"/>
  <c r="F53" i="5"/>
  <c r="E53" i="5"/>
  <c r="G52" i="5"/>
  <c r="F52" i="5"/>
  <c r="E52" i="5"/>
  <c r="G61" i="5"/>
  <c r="F61" i="5"/>
  <c r="E61" i="5"/>
  <c r="G60" i="5"/>
  <c r="F60" i="5"/>
  <c r="E60" i="5"/>
  <c r="G59" i="5"/>
  <c r="F59" i="5"/>
  <c r="E59" i="5"/>
  <c r="E47" i="5"/>
  <c r="F47" i="5"/>
  <c r="G47" i="5"/>
  <c r="E48" i="5"/>
  <c r="F48" i="5"/>
  <c r="G48" i="5"/>
  <c r="E49" i="5"/>
  <c r="F49" i="5"/>
  <c r="G49" i="5"/>
  <c r="G58" i="5"/>
  <c r="F58" i="5"/>
  <c r="E58" i="5"/>
  <c r="G57" i="5"/>
  <c r="F57" i="5"/>
  <c r="E57" i="5"/>
  <c r="G51" i="5"/>
  <c r="F51" i="5"/>
  <c r="E51" i="5"/>
  <c r="G50" i="5"/>
  <c r="F50" i="5"/>
  <c r="E50" i="5"/>
  <c r="G46" i="5"/>
  <c r="F46" i="5"/>
  <c r="E46" i="5"/>
  <c r="G43" i="5"/>
  <c r="F43" i="5"/>
  <c r="E43" i="5"/>
  <c r="E33" i="10"/>
  <c r="G33" i="10" s="1"/>
  <c r="E32" i="10"/>
  <c r="G32" i="10" s="1"/>
  <c r="E31" i="10"/>
  <c r="G31" i="10"/>
  <c r="E30" i="10"/>
  <c r="G30" i="10"/>
  <c r="G22" i="10"/>
  <c r="G23" i="10"/>
  <c r="G24" i="10"/>
  <c r="G25" i="10"/>
  <c r="G26" i="10"/>
  <c r="G27" i="10"/>
  <c r="G28" i="10"/>
  <c r="G29" i="10"/>
  <c r="E29" i="10"/>
  <c r="E28" i="10"/>
  <c r="E26" i="10"/>
  <c r="E27" i="10"/>
  <c r="E25" i="10"/>
  <c r="E24" i="10"/>
  <c r="E23" i="10"/>
  <c r="E22" i="10"/>
  <c r="E21" i="10"/>
  <c r="G21" i="10"/>
  <c r="I33" i="5"/>
  <c r="G39" i="5"/>
  <c r="H39" i="5"/>
  <c r="I39" i="5"/>
  <c r="G28" i="5"/>
  <c r="K28" i="5" s="1"/>
  <c r="E19" i="5"/>
  <c r="G19" i="5" s="1"/>
  <c r="E9" i="5"/>
  <c r="G9" i="5" s="1"/>
  <c r="E5" i="10"/>
  <c r="E8" i="10"/>
  <c r="A17" i="10"/>
  <c r="B17" i="10"/>
  <c r="A13" i="10"/>
  <c r="B13" i="10"/>
  <c r="A14" i="10"/>
  <c r="B14" i="10"/>
  <c r="C14" i="10"/>
  <c r="A15" i="10"/>
  <c r="B15" i="10"/>
  <c r="A16" i="10"/>
  <c r="B16" i="10"/>
  <c r="B12" i="10"/>
  <c r="A12" i="10"/>
  <c r="C4" i="10"/>
  <c r="E4" i="10" s="1"/>
  <c r="C5" i="10"/>
  <c r="C6" i="10"/>
  <c r="C15" i="10" s="1"/>
  <c r="E15" i="10" s="1"/>
  <c r="C7" i="10"/>
  <c r="C16" i="10" s="1"/>
  <c r="C8" i="10"/>
  <c r="C17" i="10" s="1"/>
  <c r="C3" i="10"/>
  <c r="E3" i="10" s="1"/>
  <c r="L48" i="8"/>
  <c r="L47" i="8"/>
  <c r="L46" i="8"/>
  <c r="L45" i="8"/>
  <c r="L44" i="8"/>
  <c r="L43" i="8"/>
  <c r="L42" i="8"/>
  <c r="L41" i="8"/>
  <c r="L40" i="8"/>
  <c r="L39" i="8"/>
  <c r="L38" i="8"/>
  <c r="L93" i="8"/>
  <c r="L92" i="8"/>
  <c r="L91" i="8"/>
  <c r="L90" i="8"/>
  <c r="L89" i="8"/>
  <c r="L88" i="8"/>
  <c r="L87" i="8"/>
  <c r="L86" i="8"/>
  <c r="L85" i="8"/>
  <c r="L84" i="8"/>
  <c r="L83" i="8"/>
  <c r="L69" i="8"/>
  <c r="L70" i="8"/>
  <c r="L71" i="8"/>
  <c r="L72" i="8"/>
  <c r="L73" i="8"/>
  <c r="L74" i="8"/>
  <c r="L75" i="8"/>
  <c r="L76" i="8"/>
  <c r="L77" i="8"/>
  <c r="L78" i="8"/>
  <c r="L68" i="8"/>
  <c r="H93" i="8"/>
  <c r="G93" i="8"/>
  <c r="H78" i="8"/>
  <c r="G78" i="8"/>
  <c r="G48" i="8"/>
  <c r="H48" i="8"/>
  <c r="L63" i="8"/>
  <c r="K63" i="8"/>
  <c r="O63" i="8" s="1"/>
  <c r="L33" i="8"/>
  <c r="K33" i="8"/>
  <c r="O33" i="8" s="1"/>
  <c r="G84" i="8"/>
  <c r="H84" i="8"/>
  <c r="G85" i="8"/>
  <c r="H85" i="8"/>
  <c r="G86" i="8"/>
  <c r="H86" i="8"/>
  <c r="G87" i="8"/>
  <c r="H87" i="8"/>
  <c r="G88" i="8"/>
  <c r="H88" i="8"/>
  <c r="G89" i="8"/>
  <c r="H89" i="8"/>
  <c r="G90" i="8"/>
  <c r="H90" i="8"/>
  <c r="G91" i="8"/>
  <c r="H91" i="8"/>
  <c r="G92" i="8"/>
  <c r="H92" i="8"/>
  <c r="H83" i="8"/>
  <c r="G83" i="8"/>
  <c r="G69" i="8"/>
  <c r="H69" i="8"/>
  <c r="G70" i="8"/>
  <c r="H70" i="8"/>
  <c r="G71" i="8"/>
  <c r="H71" i="8"/>
  <c r="G72" i="8"/>
  <c r="H72" i="8"/>
  <c r="G73" i="8"/>
  <c r="H73" i="8"/>
  <c r="G74" i="8"/>
  <c r="H74" i="8"/>
  <c r="G75" i="8"/>
  <c r="H75" i="8"/>
  <c r="G76" i="8"/>
  <c r="H76" i="8"/>
  <c r="G77" i="8"/>
  <c r="H77" i="8"/>
  <c r="H68" i="8"/>
  <c r="G68" i="8"/>
  <c r="G39" i="8"/>
  <c r="H39" i="8"/>
  <c r="G40" i="8"/>
  <c r="H40" i="8"/>
  <c r="G41" i="8"/>
  <c r="H41" i="8"/>
  <c r="G42" i="8"/>
  <c r="H42" i="8"/>
  <c r="G43" i="8"/>
  <c r="H43" i="8"/>
  <c r="G44" i="8"/>
  <c r="H44" i="8"/>
  <c r="G45" i="8"/>
  <c r="H45" i="8"/>
  <c r="G46" i="8"/>
  <c r="H46" i="8"/>
  <c r="G47" i="8"/>
  <c r="H47" i="8"/>
  <c r="H38" i="8"/>
  <c r="G38" i="8"/>
  <c r="K54" i="8"/>
  <c r="L54" i="8"/>
  <c r="K55" i="8"/>
  <c r="L55" i="8"/>
  <c r="K56" i="8"/>
  <c r="L56" i="8"/>
  <c r="K57" i="8"/>
  <c r="L57" i="8"/>
  <c r="K58" i="8"/>
  <c r="L58" i="8"/>
  <c r="K59" i="8"/>
  <c r="O59" i="8" s="1"/>
  <c r="L59" i="8"/>
  <c r="K60" i="8"/>
  <c r="L60" i="8"/>
  <c r="K61" i="8"/>
  <c r="L61" i="8"/>
  <c r="K62" i="8"/>
  <c r="L62" i="8"/>
  <c r="L53" i="8"/>
  <c r="K53" i="8"/>
  <c r="L32" i="8"/>
  <c r="K32" i="8"/>
  <c r="L31" i="8"/>
  <c r="K31" i="8"/>
  <c r="K25" i="8"/>
  <c r="L25" i="8"/>
  <c r="K26" i="8"/>
  <c r="L26" i="8"/>
  <c r="K27" i="8"/>
  <c r="L27" i="8"/>
  <c r="K28" i="8"/>
  <c r="L28" i="8"/>
  <c r="K29" i="8"/>
  <c r="O29" i="8" s="1"/>
  <c r="L29" i="8"/>
  <c r="K30" i="8"/>
  <c r="L30" i="8"/>
  <c r="L24" i="8"/>
  <c r="K24" i="8"/>
  <c r="L23" i="8"/>
  <c r="K23" i="8"/>
  <c r="F110" i="8"/>
  <c r="G110" i="8"/>
  <c r="F111" i="8"/>
  <c r="G111" i="8"/>
  <c r="F112" i="8"/>
  <c r="G112" i="8"/>
  <c r="F113" i="8"/>
  <c r="G113" i="8"/>
  <c r="F114" i="8"/>
  <c r="G114" i="8"/>
  <c r="G109" i="8"/>
  <c r="F109" i="8"/>
  <c r="D114" i="8"/>
  <c r="I114" i="8" s="1"/>
  <c r="C114" i="8"/>
  <c r="H114" i="8" s="1"/>
  <c r="G108" i="8"/>
  <c r="F108" i="8"/>
  <c r="C109" i="8"/>
  <c r="H109" i="8" s="1"/>
  <c r="D109" i="8"/>
  <c r="I109" i="8" s="1"/>
  <c r="C110" i="8"/>
  <c r="H110" i="8" s="1"/>
  <c r="D110" i="8"/>
  <c r="I110" i="8" s="1"/>
  <c r="C111" i="8"/>
  <c r="H111" i="8" s="1"/>
  <c r="D111" i="8"/>
  <c r="I111" i="8" s="1"/>
  <c r="C112" i="8"/>
  <c r="H112" i="8" s="1"/>
  <c r="D112" i="8"/>
  <c r="I112" i="8" s="1"/>
  <c r="C113" i="8"/>
  <c r="H113" i="8" s="1"/>
  <c r="D113" i="8"/>
  <c r="I113" i="8" s="1"/>
  <c r="F104" i="8"/>
  <c r="G104" i="8"/>
  <c r="C104" i="8"/>
  <c r="H104" i="8" s="1"/>
  <c r="D104" i="8"/>
  <c r="I104" i="8" s="1"/>
  <c r="F98" i="8"/>
  <c r="G98" i="8"/>
  <c r="F99" i="8"/>
  <c r="G99" i="8"/>
  <c r="F100" i="8"/>
  <c r="G100" i="8"/>
  <c r="F101" i="8"/>
  <c r="G101" i="8"/>
  <c r="F102" i="8"/>
  <c r="G102" i="8"/>
  <c r="F103" i="8"/>
  <c r="G103" i="8"/>
  <c r="C98" i="8"/>
  <c r="H98" i="8" s="1"/>
  <c r="D98" i="8"/>
  <c r="I98" i="8" s="1"/>
  <c r="C99" i="8"/>
  <c r="H99" i="8" s="1"/>
  <c r="D99" i="8"/>
  <c r="I99" i="8" s="1"/>
  <c r="C100" i="8"/>
  <c r="H100" i="8" s="1"/>
  <c r="D100" i="8"/>
  <c r="I100" i="8" s="1"/>
  <c r="C101" i="8"/>
  <c r="H101" i="8" s="1"/>
  <c r="D101" i="8"/>
  <c r="I101" i="8" s="1"/>
  <c r="C102" i="8"/>
  <c r="H102" i="8" s="1"/>
  <c r="D102" i="8"/>
  <c r="I102" i="8" s="1"/>
  <c r="C103" i="8"/>
  <c r="H103" i="8" s="1"/>
  <c r="D103" i="8"/>
  <c r="I103" i="8" s="1"/>
  <c r="D108" i="8"/>
  <c r="I108" i="8" s="1"/>
  <c r="C108" i="8"/>
  <c r="H108" i="8" s="1"/>
  <c r="D97" i="8"/>
  <c r="I97" i="8" s="1"/>
  <c r="C97" i="8"/>
  <c r="H97" i="8" s="1"/>
  <c r="G97" i="8"/>
  <c r="F97" i="8"/>
  <c r="E18" i="8"/>
  <c r="H18" i="8" s="1"/>
  <c r="E17" i="8"/>
  <c r="H17" i="8" s="1"/>
  <c r="E16" i="8"/>
  <c r="H16" i="8" s="1"/>
  <c r="E15" i="8"/>
  <c r="H15" i="8" s="1"/>
  <c r="E14" i="8"/>
  <c r="H14" i="8" s="1"/>
  <c r="E13" i="8"/>
  <c r="H13" i="8" s="1"/>
  <c r="E12" i="8"/>
  <c r="H12" i="8" s="1"/>
  <c r="F8" i="8"/>
  <c r="E8" i="8"/>
  <c r="F7" i="8"/>
  <c r="E7" i="8"/>
  <c r="F6" i="8"/>
  <c r="E6" i="8"/>
  <c r="F5" i="8"/>
  <c r="E5" i="8"/>
  <c r="F4" i="8"/>
  <c r="E4" i="8"/>
  <c r="F3" i="8"/>
  <c r="E3" i="8"/>
  <c r="M115" i="5" l="1"/>
  <c r="H93" i="5"/>
  <c r="H86" i="5"/>
  <c r="P111" i="5"/>
  <c r="M110" i="5"/>
  <c r="P110" i="5"/>
  <c r="P122" i="5"/>
  <c r="M112" i="5"/>
  <c r="P112" i="5"/>
  <c r="M114" i="5"/>
  <c r="P114" i="5"/>
  <c r="H91" i="5"/>
  <c r="H92" i="5"/>
  <c r="H81" i="5"/>
  <c r="H89" i="5"/>
  <c r="H95" i="5"/>
  <c r="H98" i="5"/>
  <c r="H83" i="5"/>
  <c r="I83" i="5" s="1"/>
  <c r="J83" i="5" s="1"/>
  <c r="L83" i="5"/>
  <c r="L82" i="5"/>
  <c r="H87" i="5"/>
  <c r="H94" i="5"/>
  <c r="H96" i="5"/>
  <c r="H84" i="5"/>
  <c r="H90" i="5"/>
  <c r="H88" i="5"/>
  <c r="L101" i="5"/>
  <c r="H100" i="5"/>
  <c r="I100" i="5" s="1"/>
  <c r="J100" i="5" s="1"/>
  <c r="K39" i="5"/>
  <c r="H46" i="5"/>
  <c r="H59" i="5"/>
  <c r="H56" i="5"/>
  <c r="H55" i="5"/>
  <c r="H54" i="5"/>
  <c r="H53" i="5"/>
  <c r="H52" i="5"/>
  <c r="H61" i="5"/>
  <c r="H60" i="5"/>
  <c r="H49" i="5"/>
  <c r="H48" i="5"/>
  <c r="H47" i="5"/>
  <c r="H57" i="5"/>
  <c r="H43" i="5"/>
  <c r="I81" i="5" s="1"/>
  <c r="H50" i="5"/>
  <c r="H51" i="5"/>
  <c r="H58" i="5"/>
  <c r="E7" i="10"/>
  <c r="E14" i="10"/>
  <c r="C13" i="10"/>
  <c r="E13" i="10"/>
  <c r="E16" i="10"/>
  <c r="E17" i="10"/>
  <c r="E6" i="10"/>
  <c r="C12" i="10"/>
  <c r="E12" i="10" s="1"/>
  <c r="O57" i="8"/>
  <c r="O62" i="8"/>
  <c r="O30" i="8"/>
  <c r="O27" i="8"/>
  <c r="O56" i="8"/>
  <c r="O60" i="8"/>
  <c r="O32" i="8"/>
  <c r="O61" i="8"/>
  <c r="O54" i="8"/>
  <c r="O58" i="8"/>
  <c r="H6" i="8"/>
  <c r="O53" i="8"/>
  <c r="H3" i="8"/>
  <c r="H7" i="8"/>
  <c r="O55" i="8"/>
  <c r="H4" i="8"/>
  <c r="H8" i="8"/>
  <c r="O24" i="8"/>
  <c r="O28" i="8"/>
  <c r="O31" i="8"/>
  <c r="H5" i="8"/>
  <c r="O23" i="8"/>
  <c r="O25" i="8"/>
  <c r="O26" i="8"/>
  <c r="L100" i="8"/>
  <c r="L103" i="8"/>
  <c r="L111" i="8"/>
  <c r="L110" i="8"/>
  <c r="L99" i="8"/>
  <c r="L98" i="8"/>
  <c r="L97" i="8"/>
  <c r="L101" i="8"/>
  <c r="L113" i="8"/>
  <c r="L114" i="8"/>
  <c r="L102" i="8"/>
  <c r="L104" i="8"/>
  <c r="L112" i="8"/>
  <c r="L109" i="8"/>
  <c r="L108" i="8"/>
  <c r="G38" i="5"/>
  <c r="H38" i="5"/>
  <c r="I38" i="5"/>
  <c r="G37" i="5"/>
  <c r="H37" i="5"/>
  <c r="I37" i="5"/>
  <c r="G33" i="5"/>
  <c r="H33" i="5"/>
  <c r="G34" i="5"/>
  <c r="H34" i="5"/>
  <c r="I34" i="5"/>
  <c r="G35" i="5"/>
  <c r="H35" i="5"/>
  <c r="I35" i="5"/>
  <c r="G36" i="5"/>
  <c r="H36" i="5"/>
  <c r="I36" i="5"/>
  <c r="G27" i="5"/>
  <c r="K27" i="5" s="1"/>
  <c r="G26" i="5"/>
  <c r="K26" i="5" s="1"/>
  <c r="G25" i="5"/>
  <c r="K25" i="5" s="1"/>
  <c r="G24" i="5"/>
  <c r="K24" i="5" s="1"/>
  <c r="I32" i="5"/>
  <c r="H32" i="5"/>
  <c r="G32" i="5"/>
  <c r="G23" i="5"/>
  <c r="K23" i="5" s="1"/>
  <c r="A62" i="7"/>
  <c r="E62" i="7" s="1"/>
  <c r="A37" i="7"/>
  <c r="B37" i="7" s="1"/>
  <c r="C37" i="7" s="1"/>
  <c r="E37" i="7" s="1"/>
  <c r="A35" i="7"/>
  <c r="B35" i="7" s="1"/>
  <c r="C35" i="7" s="1"/>
  <c r="E35" i="7" s="1"/>
  <c r="A33" i="7"/>
  <c r="A44" i="7" s="1"/>
  <c r="A56" i="7"/>
  <c r="A41" i="7"/>
  <c r="B41" i="7" s="1"/>
  <c r="C41" i="7" s="1"/>
  <c r="E41" i="7" s="1"/>
  <c r="A40" i="7"/>
  <c r="B40" i="7" s="1"/>
  <c r="C40" i="7" s="1"/>
  <c r="C66" i="7" s="1"/>
  <c r="A36" i="7"/>
  <c r="B36" i="7" s="1"/>
  <c r="C36" i="7" s="1"/>
  <c r="C62" i="7" s="1"/>
  <c r="B30" i="7"/>
  <c r="B56" i="7" s="1"/>
  <c r="A34" i="7"/>
  <c r="B34" i="7" s="1"/>
  <c r="B60" i="7" s="1"/>
  <c r="A32" i="7"/>
  <c r="B32" i="7" s="1"/>
  <c r="B58" i="7" s="1"/>
  <c r="A31" i="7"/>
  <c r="B31" i="7" s="1"/>
  <c r="C31" i="7" s="1"/>
  <c r="C57" i="7" s="1"/>
  <c r="A39" i="7"/>
  <c r="A50" i="7" s="1"/>
  <c r="B50" i="7" s="1"/>
  <c r="A38" i="7"/>
  <c r="A49" i="7" s="1"/>
  <c r="D3" i="7"/>
  <c r="G3" i="7"/>
  <c r="B4" i="7"/>
  <c r="D4" i="7" s="1"/>
  <c r="B5" i="7"/>
  <c r="G5" i="7" s="1"/>
  <c r="B6" i="7"/>
  <c r="G6" i="7" s="1"/>
  <c r="B7" i="7"/>
  <c r="D7" i="7" s="1"/>
  <c r="B8" i="7"/>
  <c r="D8" i="7" s="1"/>
  <c r="G8" i="7"/>
  <c r="B9" i="7"/>
  <c r="D9" i="7" s="1"/>
  <c r="B10" i="7"/>
  <c r="D10" i="7" s="1"/>
  <c r="B11" i="7"/>
  <c r="D11" i="7" s="1"/>
  <c r="B12" i="7"/>
  <c r="D12" i="7" s="1"/>
  <c r="C16" i="7"/>
  <c r="D16" i="7" s="1"/>
  <c r="C17" i="7"/>
  <c r="D17" i="7" s="1"/>
  <c r="C18" i="7"/>
  <c r="D18" i="7" s="1"/>
  <c r="F18" i="7"/>
  <c r="C19" i="7"/>
  <c r="D19" i="7" s="1"/>
  <c r="F19" i="7"/>
  <c r="C20" i="7"/>
  <c r="D20" i="7" s="1"/>
  <c r="F20" i="7"/>
  <c r="C21" i="7"/>
  <c r="D21" i="7" s="1"/>
  <c r="C22" i="7"/>
  <c r="D22" i="7" s="1"/>
  <c r="F22" i="7"/>
  <c r="G22" i="7" s="1"/>
  <c r="C23" i="7"/>
  <c r="F23" i="7" s="1"/>
  <c r="G23" i="7" s="1"/>
  <c r="C24" i="7"/>
  <c r="D24" i="7" s="1"/>
  <c r="F24" i="7"/>
  <c r="G24" i="7" s="1"/>
  <c r="C25" i="7"/>
  <c r="D25" i="7" s="1"/>
  <c r="C26" i="7"/>
  <c r="D26" i="7" s="1"/>
  <c r="E28" i="6"/>
  <c r="H28" i="6" s="1"/>
  <c r="F26" i="6"/>
  <c r="I26" i="6" s="1"/>
  <c r="L26" i="6" s="1"/>
  <c r="E27" i="6"/>
  <c r="H27" i="6" s="1"/>
  <c r="F27" i="6"/>
  <c r="F28" i="6"/>
  <c r="F29" i="6"/>
  <c r="I29" i="6" s="1"/>
  <c r="L29" i="6" s="1"/>
  <c r="F30" i="6"/>
  <c r="I30" i="6" s="1"/>
  <c r="F31" i="6"/>
  <c r="F32" i="6"/>
  <c r="I32" i="6" s="1"/>
  <c r="L32" i="6" s="1"/>
  <c r="F33" i="6"/>
  <c r="I33" i="6" s="1"/>
  <c r="F34" i="6"/>
  <c r="E35" i="6"/>
  <c r="H35" i="6" s="1"/>
  <c r="F35" i="6"/>
  <c r="C26" i="6"/>
  <c r="E26" i="6" s="1"/>
  <c r="H26" i="6" s="1"/>
  <c r="C27" i="6"/>
  <c r="D27" i="6" s="1"/>
  <c r="G27" i="6" s="1"/>
  <c r="J27" i="6" s="1"/>
  <c r="C28" i="6"/>
  <c r="D28" i="6" s="1"/>
  <c r="C29" i="6"/>
  <c r="D29" i="6" s="1"/>
  <c r="C30" i="6"/>
  <c r="D30" i="6" s="1"/>
  <c r="C31" i="6"/>
  <c r="D31" i="6" s="1"/>
  <c r="C32" i="6"/>
  <c r="D32" i="6" s="1"/>
  <c r="C33" i="6"/>
  <c r="E33" i="6" s="1"/>
  <c r="H33" i="6" s="1"/>
  <c r="C34" i="6"/>
  <c r="E34" i="6" s="1"/>
  <c r="H34" i="6" s="1"/>
  <c r="C35" i="6"/>
  <c r="D35" i="6" s="1"/>
  <c r="G35" i="6" s="1"/>
  <c r="J35" i="6" s="1"/>
  <c r="O3" i="6"/>
  <c r="N3" i="6"/>
  <c r="B4" i="6"/>
  <c r="J4" i="6" s="1"/>
  <c r="C4" i="6"/>
  <c r="K4" i="6" s="1"/>
  <c r="D4" i="6"/>
  <c r="L4" i="6" s="1"/>
  <c r="E4" i="6"/>
  <c r="M4" i="6" s="1"/>
  <c r="F4" i="6"/>
  <c r="N4" i="6" s="1"/>
  <c r="G4" i="6"/>
  <c r="O4" i="6" s="1"/>
  <c r="B5" i="6"/>
  <c r="J5" i="6" s="1"/>
  <c r="C5" i="6"/>
  <c r="K5" i="6" s="1"/>
  <c r="D5" i="6"/>
  <c r="L5" i="6" s="1"/>
  <c r="E5" i="6"/>
  <c r="M5" i="6" s="1"/>
  <c r="F5" i="6"/>
  <c r="N5" i="6" s="1"/>
  <c r="G5" i="6"/>
  <c r="O5" i="6" s="1"/>
  <c r="B6" i="6"/>
  <c r="J6" i="6" s="1"/>
  <c r="C6" i="6"/>
  <c r="K6" i="6" s="1"/>
  <c r="D6" i="6"/>
  <c r="L6" i="6" s="1"/>
  <c r="E6" i="6"/>
  <c r="M6" i="6" s="1"/>
  <c r="F6" i="6"/>
  <c r="N6" i="6" s="1"/>
  <c r="G6" i="6"/>
  <c r="O6" i="6" s="1"/>
  <c r="B7" i="6"/>
  <c r="J7" i="6" s="1"/>
  <c r="C7" i="6"/>
  <c r="K7" i="6" s="1"/>
  <c r="D7" i="6"/>
  <c r="L7" i="6" s="1"/>
  <c r="E7" i="6"/>
  <c r="M7" i="6" s="1"/>
  <c r="F7" i="6"/>
  <c r="N7" i="6" s="1"/>
  <c r="G7" i="6"/>
  <c r="O7" i="6" s="1"/>
  <c r="B8" i="6"/>
  <c r="J8" i="6" s="1"/>
  <c r="C8" i="6"/>
  <c r="K8" i="6" s="1"/>
  <c r="D8" i="6"/>
  <c r="L8" i="6" s="1"/>
  <c r="E8" i="6"/>
  <c r="M8" i="6" s="1"/>
  <c r="F8" i="6"/>
  <c r="N8" i="6" s="1"/>
  <c r="G8" i="6"/>
  <c r="O8" i="6" s="1"/>
  <c r="B9" i="6"/>
  <c r="J9" i="6" s="1"/>
  <c r="C9" i="6"/>
  <c r="K9" i="6" s="1"/>
  <c r="D9" i="6"/>
  <c r="L9" i="6" s="1"/>
  <c r="E9" i="6"/>
  <c r="M9" i="6" s="1"/>
  <c r="F9" i="6"/>
  <c r="N9" i="6" s="1"/>
  <c r="G9" i="6"/>
  <c r="O9" i="6" s="1"/>
  <c r="B10" i="6"/>
  <c r="J10" i="6" s="1"/>
  <c r="C10" i="6"/>
  <c r="K10" i="6" s="1"/>
  <c r="D10" i="6"/>
  <c r="L10" i="6" s="1"/>
  <c r="E10" i="6"/>
  <c r="M10" i="6" s="1"/>
  <c r="F10" i="6"/>
  <c r="N10" i="6" s="1"/>
  <c r="G10" i="6"/>
  <c r="O10" i="6" s="1"/>
  <c r="B11" i="6"/>
  <c r="J11" i="6" s="1"/>
  <c r="C11" i="6"/>
  <c r="K11" i="6" s="1"/>
  <c r="D11" i="6"/>
  <c r="L11" i="6" s="1"/>
  <c r="E11" i="6"/>
  <c r="M11" i="6" s="1"/>
  <c r="F11" i="6"/>
  <c r="N11" i="6" s="1"/>
  <c r="G11" i="6"/>
  <c r="O11" i="6" s="1"/>
  <c r="B12" i="6"/>
  <c r="J12" i="6" s="1"/>
  <c r="C12" i="6"/>
  <c r="K12" i="6" s="1"/>
  <c r="D12" i="6"/>
  <c r="L12" i="6" s="1"/>
  <c r="E12" i="6"/>
  <c r="M12" i="6" s="1"/>
  <c r="F12" i="6"/>
  <c r="N12" i="6" s="1"/>
  <c r="G12" i="6"/>
  <c r="O12" i="6" s="1"/>
  <c r="B13" i="6"/>
  <c r="J13" i="6" s="1"/>
  <c r="C13" i="6"/>
  <c r="K13" i="6" s="1"/>
  <c r="D13" i="6"/>
  <c r="L13" i="6" s="1"/>
  <c r="E13" i="6"/>
  <c r="M13" i="6" s="1"/>
  <c r="F13" i="6"/>
  <c r="N13" i="6" s="1"/>
  <c r="G13" i="6"/>
  <c r="O13" i="6" s="1"/>
  <c r="F15" i="6"/>
  <c r="N15" i="6" s="1"/>
  <c r="G3" i="6"/>
  <c r="F3" i="6"/>
  <c r="E3" i="6"/>
  <c r="M3" i="6" s="1"/>
  <c r="D3" i="6"/>
  <c r="L3" i="6" s="1"/>
  <c r="C3" i="6"/>
  <c r="K3" i="6" s="1"/>
  <c r="B3" i="6"/>
  <c r="J3" i="6" s="1"/>
  <c r="A21" i="6"/>
  <c r="G21" i="6" s="1"/>
  <c r="O21" i="6" s="1"/>
  <c r="A15" i="6"/>
  <c r="A16" i="6"/>
  <c r="B16" i="6" s="1"/>
  <c r="J16" i="6" s="1"/>
  <c r="A17" i="6"/>
  <c r="D17" i="6" s="1"/>
  <c r="L17" i="6" s="1"/>
  <c r="A18" i="6"/>
  <c r="A19" i="6"/>
  <c r="F19" i="6" s="1"/>
  <c r="N19" i="6" s="1"/>
  <c r="A20" i="6"/>
  <c r="A14" i="6"/>
  <c r="D14" i="6" s="1"/>
  <c r="L14" i="6" s="1"/>
  <c r="E14" i="5"/>
  <c r="G14" i="5" s="1"/>
  <c r="E15" i="5"/>
  <c r="G15" i="5" s="1"/>
  <c r="E16" i="5"/>
  <c r="G16" i="5" s="1"/>
  <c r="E17" i="5"/>
  <c r="G17" i="5" s="1"/>
  <c r="E18" i="5"/>
  <c r="G18" i="5" s="1"/>
  <c r="E13" i="5"/>
  <c r="G13" i="5" s="1"/>
  <c r="E8" i="5"/>
  <c r="G8" i="5" s="1"/>
  <c r="E4" i="5"/>
  <c r="G4" i="5" s="1"/>
  <c r="E5" i="5"/>
  <c r="G5" i="5" s="1"/>
  <c r="E6" i="5"/>
  <c r="G6" i="5" s="1"/>
  <c r="E7" i="5"/>
  <c r="G7" i="5" s="1"/>
  <c r="E3" i="5"/>
  <c r="G3" i="5" s="1"/>
  <c r="F8" i="4"/>
  <c r="E8" i="4"/>
  <c r="F16" i="4"/>
  <c r="E16" i="4"/>
  <c r="E7" i="4"/>
  <c r="E4" i="4"/>
  <c r="F4" i="4"/>
  <c r="E5" i="4"/>
  <c r="F5" i="4"/>
  <c r="E6" i="4"/>
  <c r="F6" i="4"/>
  <c r="F7" i="4"/>
  <c r="F3" i="4"/>
  <c r="E3" i="4"/>
  <c r="F15" i="4"/>
  <c r="E15" i="4"/>
  <c r="F14" i="4"/>
  <c r="E14" i="4"/>
  <c r="F13" i="4"/>
  <c r="E13" i="4"/>
  <c r="F12" i="4"/>
  <c r="E12" i="4"/>
  <c r="F11" i="4"/>
  <c r="E11" i="4"/>
  <c r="E30" i="4"/>
  <c r="D30" i="4"/>
  <c r="E28" i="4"/>
  <c r="D28" i="4"/>
  <c r="E20" i="4"/>
  <c r="D20" i="4"/>
  <c r="E19" i="4"/>
  <c r="D19" i="4"/>
  <c r="E34" i="4"/>
  <c r="D34" i="4"/>
  <c r="E33" i="4"/>
  <c r="D33" i="4"/>
  <c r="E32" i="4"/>
  <c r="D32" i="4"/>
  <c r="E31" i="4"/>
  <c r="D31" i="4"/>
  <c r="E29" i="4"/>
  <c r="D29" i="4"/>
  <c r="D22" i="4"/>
  <c r="E22" i="4"/>
  <c r="D23" i="4"/>
  <c r="E23" i="4"/>
  <c r="D24" i="4"/>
  <c r="E24" i="4"/>
  <c r="D25" i="4"/>
  <c r="E25" i="4"/>
  <c r="E21" i="4"/>
  <c r="D21" i="4"/>
  <c r="A52" i="7" l="1"/>
  <c r="B63" i="7"/>
  <c r="C67" i="7"/>
  <c r="B61" i="7"/>
  <c r="B57" i="7"/>
  <c r="B33" i="7"/>
  <c r="C33" i="7" s="1"/>
  <c r="A76" i="7"/>
  <c r="A57" i="7"/>
  <c r="E57" i="7" s="1"/>
  <c r="C63" i="7"/>
  <c r="D5" i="7"/>
  <c r="A66" i="7"/>
  <c r="E66" i="7" s="1"/>
  <c r="A65" i="7"/>
  <c r="C61" i="7"/>
  <c r="A64" i="7"/>
  <c r="K33" i="5"/>
  <c r="L100" i="5"/>
  <c r="J81" i="5"/>
  <c r="L81" i="5"/>
  <c r="I85" i="5"/>
  <c r="M47" i="5"/>
  <c r="I93" i="5"/>
  <c r="M55" i="5"/>
  <c r="I86" i="5"/>
  <c r="M48" i="5"/>
  <c r="I94" i="5"/>
  <c r="M56" i="5"/>
  <c r="I87" i="5"/>
  <c r="M49" i="5"/>
  <c r="I95" i="5"/>
  <c r="M57" i="5"/>
  <c r="I96" i="5"/>
  <c r="M58" i="5"/>
  <c r="I98" i="5"/>
  <c r="M60" i="5"/>
  <c r="I97" i="5"/>
  <c r="M59" i="5"/>
  <c r="I89" i="5"/>
  <c r="M51" i="5"/>
  <c r="I99" i="5"/>
  <c r="M61" i="5"/>
  <c r="I88" i="5"/>
  <c r="M50" i="5"/>
  <c r="I90" i="5"/>
  <c r="M52" i="5"/>
  <c r="I84" i="5"/>
  <c r="M46" i="5"/>
  <c r="I92" i="5"/>
  <c r="M54" i="5"/>
  <c r="I91" i="5"/>
  <c r="M53" i="5"/>
  <c r="K32" i="5"/>
  <c r="K36" i="5"/>
  <c r="K35" i="5"/>
  <c r="K37" i="5"/>
  <c r="K34" i="5"/>
  <c r="K38" i="5"/>
  <c r="A70" i="7"/>
  <c r="B44" i="7"/>
  <c r="C50" i="7"/>
  <c r="B76" i="7"/>
  <c r="A75" i="7"/>
  <c r="B49" i="7"/>
  <c r="A58" i="7"/>
  <c r="B67" i="7"/>
  <c r="A45" i="7"/>
  <c r="A67" i="7"/>
  <c r="E67" i="7" s="1"/>
  <c r="A63" i="7"/>
  <c r="E63" i="7" s="1"/>
  <c r="A59" i="7"/>
  <c r="A60" i="7"/>
  <c r="B66" i="7"/>
  <c r="B62" i="7"/>
  <c r="A61" i="7"/>
  <c r="E61" i="7" s="1"/>
  <c r="A51" i="7"/>
  <c r="A43" i="7"/>
  <c r="D6" i="7"/>
  <c r="A42" i="7"/>
  <c r="A68" i="7" s="1"/>
  <c r="A47" i="7"/>
  <c r="A48" i="7"/>
  <c r="C30" i="7"/>
  <c r="A46" i="7"/>
  <c r="E31" i="7"/>
  <c r="C34" i="7"/>
  <c r="C60" i="7" s="1"/>
  <c r="E36" i="7"/>
  <c r="E40" i="7"/>
  <c r="C32" i="7"/>
  <c r="C58" i="7" s="1"/>
  <c r="B39" i="7"/>
  <c r="B65" i="7" s="1"/>
  <c r="G11" i="7"/>
  <c r="D23" i="7"/>
  <c r="B38" i="7"/>
  <c r="B64" i="7" s="1"/>
  <c r="G10" i="7"/>
  <c r="C17" i="6"/>
  <c r="K17" i="6" s="1"/>
  <c r="B17" i="6"/>
  <c r="J17" i="6" s="1"/>
  <c r="E32" i="6"/>
  <c r="H32" i="6" s="1"/>
  <c r="L30" i="6"/>
  <c r="O30" i="6"/>
  <c r="C21" i="6"/>
  <c r="K21" i="6" s="1"/>
  <c r="E16" i="6"/>
  <c r="M16" i="6" s="1"/>
  <c r="E31" i="6"/>
  <c r="H31" i="6" s="1"/>
  <c r="D26" i="6"/>
  <c r="G26" i="6" s="1"/>
  <c r="J26" i="6" s="1"/>
  <c r="E21" i="6"/>
  <c r="M21" i="6" s="1"/>
  <c r="D21" i="6"/>
  <c r="L21" i="6" s="1"/>
  <c r="B21" i="6"/>
  <c r="J21" i="6" s="1"/>
  <c r="C16" i="6"/>
  <c r="K16" i="6" s="1"/>
  <c r="I34" i="6"/>
  <c r="L34" i="6" s="1"/>
  <c r="D34" i="6"/>
  <c r="G34" i="6" s="1"/>
  <c r="J34" i="6" s="1"/>
  <c r="I31" i="6"/>
  <c r="L31" i="6" s="1"/>
  <c r="G7" i="7"/>
  <c r="G12" i="7"/>
  <c r="G4" i="7"/>
  <c r="O26" i="6"/>
  <c r="E17" i="6"/>
  <c r="M17" i="6" s="1"/>
  <c r="F14" i="6"/>
  <c r="N14" i="6" s="1"/>
  <c r="D33" i="6"/>
  <c r="G9" i="7"/>
  <c r="G17" i="6"/>
  <c r="O17" i="6" s="1"/>
  <c r="K32" i="6"/>
  <c r="G32" i="6"/>
  <c r="J32" i="6" s="1"/>
  <c r="G31" i="6"/>
  <c r="J31" i="6" s="1"/>
  <c r="G29" i="6"/>
  <c r="J29" i="6" s="1"/>
  <c r="G28" i="6"/>
  <c r="J28" i="6" s="1"/>
  <c r="L33" i="6"/>
  <c r="O33" i="6"/>
  <c r="M30" i="6"/>
  <c r="G30" i="6"/>
  <c r="J30" i="6" s="1"/>
  <c r="N34" i="6"/>
  <c r="K34" i="6"/>
  <c r="N26" i="6"/>
  <c r="K26" i="6"/>
  <c r="K33" i="6"/>
  <c r="N33" i="6"/>
  <c r="O29" i="6"/>
  <c r="G20" i="6"/>
  <c r="O20" i="6" s="1"/>
  <c r="E19" i="6"/>
  <c r="M19" i="6" s="1"/>
  <c r="C18" i="6"/>
  <c r="K18" i="6" s="1"/>
  <c r="G16" i="6"/>
  <c r="O16" i="6" s="1"/>
  <c r="E15" i="6"/>
  <c r="M15" i="6" s="1"/>
  <c r="C14" i="6"/>
  <c r="K14" i="6"/>
  <c r="E29" i="6"/>
  <c r="H29" i="6" s="1"/>
  <c r="K31" i="6"/>
  <c r="I28" i="6"/>
  <c r="L28" i="6" s="1"/>
  <c r="F20" i="6"/>
  <c r="D19" i="6"/>
  <c r="L19" i="6" s="1"/>
  <c r="B18" i="6"/>
  <c r="J18" i="6" s="1"/>
  <c r="F16" i="6"/>
  <c r="N16" i="6" s="1"/>
  <c r="D15" i="6"/>
  <c r="B14" i="6"/>
  <c r="J14" i="6" s="1"/>
  <c r="N20" i="6"/>
  <c r="L15" i="6"/>
  <c r="M35" i="6"/>
  <c r="M27" i="6"/>
  <c r="E20" i="6"/>
  <c r="M20" i="6" s="1"/>
  <c r="N32" i="6"/>
  <c r="D18" i="6"/>
  <c r="L18" i="6" s="1"/>
  <c r="C19" i="6"/>
  <c r="K19" i="6" s="1"/>
  <c r="C15" i="6"/>
  <c r="K15" i="6" s="1"/>
  <c r="F21" i="6"/>
  <c r="N21" i="6" s="1"/>
  <c r="D20" i="6"/>
  <c r="L20" i="6" s="1"/>
  <c r="B19" i="6"/>
  <c r="J19" i="6" s="1"/>
  <c r="F17" i="6"/>
  <c r="N17" i="6" s="1"/>
  <c r="D16" i="6"/>
  <c r="L16" i="6" s="1"/>
  <c r="B15" i="6"/>
  <c r="J15" i="6" s="1"/>
  <c r="I35" i="6"/>
  <c r="L35" i="6" s="1"/>
  <c r="G33" i="6"/>
  <c r="J33" i="6" s="1"/>
  <c r="I27" i="6"/>
  <c r="L27" i="6" s="1"/>
  <c r="C20" i="6"/>
  <c r="K20" i="6" s="1"/>
  <c r="G18" i="6"/>
  <c r="O18" i="6" s="1"/>
  <c r="G14" i="6"/>
  <c r="O14" i="6" s="1"/>
  <c r="K35" i="6"/>
  <c r="K27" i="6"/>
  <c r="B20" i="6"/>
  <c r="J20" i="6" s="1"/>
  <c r="F18" i="6"/>
  <c r="N18" i="6" s="1"/>
  <c r="E30" i="6"/>
  <c r="H30" i="6" s="1"/>
  <c r="G19" i="6"/>
  <c r="O19" i="6" s="1"/>
  <c r="E18" i="6"/>
  <c r="M18" i="6" s="1"/>
  <c r="G15" i="6"/>
  <c r="O15" i="6" s="1"/>
  <c r="E14" i="6"/>
  <c r="M14" i="6" s="1"/>
  <c r="F4" i="3"/>
  <c r="F5" i="3"/>
  <c r="F3" i="3"/>
  <c r="C4" i="3"/>
  <c r="C5" i="3"/>
  <c r="C6" i="3"/>
  <c r="C7" i="3"/>
  <c r="C8" i="3"/>
  <c r="C9" i="3"/>
  <c r="C10" i="3"/>
  <c r="C11" i="3"/>
  <c r="C12" i="3"/>
  <c r="C3" i="3"/>
  <c r="E5" i="3"/>
  <c r="E4" i="3"/>
  <c r="E3" i="3"/>
  <c r="B4" i="3"/>
  <c r="B5" i="3"/>
  <c r="B6" i="3"/>
  <c r="B7" i="3"/>
  <c r="B8" i="3"/>
  <c r="B9" i="3"/>
  <c r="B10" i="3"/>
  <c r="B11" i="3"/>
  <c r="B12" i="3"/>
  <c r="B3" i="3"/>
  <c r="E58" i="7" l="1"/>
  <c r="E60" i="7"/>
  <c r="E64" i="7"/>
  <c r="E33" i="7"/>
  <c r="C59" i="7"/>
  <c r="E59" i="7"/>
  <c r="E50" i="7"/>
  <c r="C76" i="7"/>
  <c r="E76" i="7" s="1"/>
  <c r="B59" i="7"/>
  <c r="A78" i="7"/>
  <c r="B52" i="7"/>
  <c r="J99" i="5"/>
  <c r="L99" i="5"/>
  <c r="J86" i="5"/>
  <c r="L86" i="5"/>
  <c r="J92" i="5"/>
  <c r="L92" i="5"/>
  <c r="J96" i="5"/>
  <c r="L96" i="5"/>
  <c r="J89" i="5"/>
  <c r="L89" i="5"/>
  <c r="J95" i="5"/>
  <c r="L95" i="5"/>
  <c r="J93" i="5"/>
  <c r="L93" i="5"/>
  <c r="J90" i="5"/>
  <c r="L90" i="5"/>
  <c r="J97" i="5"/>
  <c r="L97" i="5"/>
  <c r="J85" i="5"/>
  <c r="L85" i="5"/>
  <c r="J84" i="5"/>
  <c r="L84" i="5"/>
  <c r="J87" i="5"/>
  <c r="L87" i="5"/>
  <c r="J91" i="5"/>
  <c r="L91" i="5"/>
  <c r="J88" i="5"/>
  <c r="L88" i="5"/>
  <c r="J98" i="5"/>
  <c r="L98" i="5"/>
  <c r="J94" i="5"/>
  <c r="L94" i="5"/>
  <c r="B48" i="7"/>
  <c r="A74" i="7"/>
  <c r="A73" i="7"/>
  <c r="B47" i="7"/>
  <c r="B75" i="7"/>
  <c r="C49" i="7"/>
  <c r="A69" i="7"/>
  <c r="B43" i="7"/>
  <c r="A77" i="7"/>
  <c r="B51" i="7"/>
  <c r="A71" i="7"/>
  <c r="B45" i="7"/>
  <c r="B42" i="7"/>
  <c r="B68" i="7" s="1"/>
  <c r="A72" i="7"/>
  <c r="B46" i="7"/>
  <c r="B70" i="7"/>
  <c r="C44" i="7"/>
  <c r="C38" i="7"/>
  <c r="C64" i="7" s="1"/>
  <c r="E34" i="7"/>
  <c r="C39" i="7"/>
  <c r="C65" i="7" s="1"/>
  <c r="E65" i="7" s="1"/>
  <c r="C56" i="7"/>
  <c r="E56" i="7" s="1"/>
  <c r="E30" i="7"/>
  <c r="E32" i="7"/>
  <c r="O31" i="6"/>
  <c r="M32" i="6"/>
  <c r="O34" i="6"/>
  <c r="O35" i="6"/>
  <c r="K30" i="6"/>
  <c r="M29" i="6"/>
  <c r="M33" i="6"/>
  <c r="M28" i="6"/>
  <c r="M26" i="6"/>
  <c r="N28" i="6"/>
  <c r="K28" i="6"/>
  <c r="O27" i="6"/>
  <c r="N31" i="6"/>
  <c r="M31" i="6"/>
  <c r="N27" i="6"/>
  <c r="K29" i="6"/>
  <c r="N35" i="6"/>
  <c r="M34" i="6"/>
  <c r="B78" i="7" l="1"/>
  <c r="C52" i="7"/>
  <c r="E49" i="7"/>
  <c r="C75" i="7"/>
  <c r="E75" i="7" s="1"/>
  <c r="E44" i="7"/>
  <c r="C70" i="7"/>
  <c r="E70" i="7" s="1"/>
  <c r="C46" i="7"/>
  <c r="C72" i="7" s="1"/>
  <c r="E72" i="7" s="1"/>
  <c r="B72" i="7"/>
  <c r="C45" i="7"/>
  <c r="B71" i="7"/>
  <c r="C47" i="7"/>
  <c r="C73" i="7" s="1"/>
  <c r="E73" i="7" s="1"/>
  <c r="B73" i="7"/>
  <c r="C42" i="7"/>
  <c r="C68" i="7" s="1"/>
  <c r="E68" i="7" s="1"/>
  <c r="C51" i="7"/>
  <c r="B77" i="7"/>
  <c r="C48" i="7"/>
  <c r="C74" i="7" s="1"/>
  <c r="E74" i="7" s="1"/>
  <c r="B74" i="7"/>
  <c r="C43" i="7"/>
  <c r="B69" i="7"/>
  <c r="E38" i="7"/>
  <c r="E39" i="7"/>
  <c r="N30" i="6"/>
  <c r="N29" i="6"/>
  <c r="E45" i="7" l="1"/>
  <c r="C71" i="7"/>
  <c r="E71" i="7" s="1"/>
  <c r="E42" i="7"/>
  <c r="E51" i="7"/>
  <c r="C77" i="7"/>
  <c r="E77" i="7" s="1"/>
  <c r="E52" i="7"/>
  <c r="C78" i="7"/>
  <c r="E78" i="7" s="1"/>
  <c r="E43" i="7"/>
  <c r="C69" i="7"/>
  <c r="E69" i="7" s="1"/>
  <c r="E47" i="7"/>
  <c r="E48" i="7"/>
  <c r="E4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Thomas</author>
  </authors>
  <commentList>
    <comment ref="H6" authorId="0" shapeId="0" xr:uid="{2934D751-90AA-4A61-906E-1A0C57B3CFC6}">
      <text>
        <r>
          <rPr>
            <b/>
            <sz val="9"/>
            <color indexed="81"/>
            <rFont val="Tahoma"/>
            <family val="2"/>
          </rPr>
          <t>L Focus</t>
        </r>
      </text>
    </comment>
    <comment ref="J6" authorId="0" shapeId="0" xr:uid="{3E83AD3C-28DA-4CC1-96BD-1FD366BDB9CC}">
      <text>
        <r>
          <rPr>
            <b/>
            <sz val="9"/>
            <color indexed="81"/>
            <rFont val="Tahoma"/>
            <family val="2"/>
          </rPr>
          <t>L focus</t>
        </r>
      </text>
    </comment>
    <comment ref="K6" authorId="0" shapeId="0" xr:uid="{F285D121-DD6B-4BA8-98A7-4A6DAB09D131}">
      <text>
        <r>
          <rPr>
            <b/>
            <sz val="9"/>
            <color indexed="81"/>
            <rFont val="Tahoma"/>
            <family val="2"/>
          </rPr>
          <t>R focus</t>
        </r>
      </text>
    </comment>
    <comment ref="J8" authorId="0" shapeId="0" xr:uid="{F5B5D8D4-544A-4766-A4D0-8E24585E3A95}">
      <text>
        <r>
          <rPr>
            <b/>
            <sz val="9"/>
            <color indexed="81"/>
            <rFont val="Tahoma"/>
            <family val="2"/>
          </rPr>
          <t>R branch, R focus</t>
        </r>
      </text>
    </comment>
    <comment ref="K8" authorId="0" shapeId="0" xr:uid="{027BE1F8-114C-4F40-979B-2806B7344E34}">
      <text>
        <r>
          <rPr>
            <b/>
            <sz val="9"/>
            <color indexed="81"/>
            <rFont val="Tahoma"/>
            <family val="2"/>
          </rPr>
          <t>R branch, R focus</t>
        </r>
      </text>
    </comment>
  </commentList>
</comments>
</file>

<file path=xl/sharedStrings.xml><?xml version="1.0" encoding="utf-8"?>
<sst xmlns="http://schemas.openxmlformats.org/spreadsheetml/2006/main" count="615" uniqueCount="287">
  <si>
    <t>Cube Root</t>
  </si>
  <si>
    <t>integer</t>
  </si>
  <si>
    <t>double</t>
  </si>
  <si>
    <t>result</t>
  </si>
  <si>
    <t>TestCase</t>
  </si>
  <si>
    <t>Add</t>
  </si>
  <si>
    <t>Subtract</t>
  </si>
  <si>
    <t>Multiply</t>
  </si>
  <si>
    <t>Divide</t>
  </si>
  <si>
    <t>X</t>
  </si>
  <si>
    <t>Y</t>
  </si>
  <si>
    <t>factor</t>
  </si>
  <si>
    <t>newX</t>
  </si>
  <si>
    <t>newY</t>
  </si>
  <si>
    <t>X2</t>
  </si>
  <si>
    <t>Y1</t>
  </si>
  <si>
    <t>X1</t>
  </si>
  <si>
    <t>Y2</t>
  </si>
  <si>
    <t>Dot Product</t>
  </si>
  <si>
    <t>Result</t>
  </si>
  <si>
    <t>Cross Product</t>
  </si>
  <si>
    <t>Angle</t>
  </si>
  <si>
    <t>x</t>
  </si>
  <si>
    <t>y</t>
  </si>
  <si>
    <t>quad 1</t>
  </si>
  <si>
    <t>quad 2</t>
  </si>
  <si>
    <t>quad 3</t>
  </si>
  <si>
    <t>quad 4</t>
  </si>
  <si>
    <t>Dot Product 3D</t>
  </si>
  <si>
    <t>Cross Product 3D</t>
  </si>
  <si>
    <t>Z1</t>
  </si>
  <si>
    <t>Z2</t>
  </si>
  <si>
    <t>Degrees</t>
  </si>
  <si>
    <t>Radians</t>
  </si>
  <si>
    <t>DegreesToRadians</t>
  </si>
  <si>
    <t>RadiansToDegrees</t>
  </si>
  <si>
    <t>Angle/Ratio Methods (Sin, Cos, Tan, etc.)</t>
  </si>
  <si>
    <t>Sin</t>
  </si>
  <si>
    <t>Cos</t>
  </si>
  <si>
    <t>Tan</t>
  </si>
  <si>
    <t>Csc</t>
  </si>
  <si>
    <t>Sec</t>
  </si>
  <si>
    <t>Cot</t>
  </si>
  <si>
    <t>Angle (deg)</t>
  </si>
  <si>
    <t>NegativeInfinity</t>
  </si>
  <si>
    <t>PositiveInfinity</t>
  </si>
  <si>
    <t>Solving for Angles</t>
  </si>
  <si>
    <t>Asin</t>
  </si>
  <si>
    <t>Acos</t>
  </si>
  <si>
    <t>Atan</t>
  </si>
  <si>
    <t>h</t>
  </si>
  <si>
    <t>Ratio</t>
  </si>
  <si>
    <t>Cases</t>
  </si>
  <si>
    <t>WrapAngleWithinTwoPi</t>
  </si>
  <si>
    <t>Revolutions</t>
  </si>
  <si>
    <t>WrapAngleWithinPositiveNegativePi</t>
  </si>
  <si>
    <t>xResult</t>
  </si>
  <si>
    <t>yResult</t>
  </si>
  <si>
    <t>zResult</t>
  </si>
  <si>
    <t>ToCartesianCoordinate</t>
  </si>
  <si>
    <t>Xi</t>
  </si>
  <si>
    <t>Yi</t>
  </si>
  <si>
    <t>Xj</t>
  </si>
  <si>
    <t>Yj</t>
  </si>
  <si>
    <t>X'</t>
  </si>
  <si>
    <t>Y'</t>
  </si>
  <si>
    <t>Length</t>
  </si>
  <si>
    <t>Factor</t>
  </si>
  <si>
    <t>Xi'</t>
  </si>
  <si>
    <t>Yi'</t>
  </si>
  <si>
    <t>Xj'</t>
  </si>
  <si>
    <t>Yj'</t>
  </si>
  <si>
    <t>Offset 1</t>
  </si>
  <si>
    <t>Offset 2</t>
  </si>
  <si>
    <t>Offset Result</t>
  </si>
  <si>
    <t>Both Quadrant1</t>
  </si>
  <si>
    <t>Both Quadrant2</t>
  </si>
  <si>
    <t>Both Quadrant3</t>
  </si>
  <si>
    <t>Both Quadrant4</t>
  </si>
  <si>
    <t>One Quadrant2</t>
  </si>
  <si>
    <t>One Quadrant4</t>
  </si>
  <si>
    <t>Differing Slope Directions</t>
  </si>
  <si>
    <t>Vertical</t>
  </si>
  <si>
    <t>Subtract (P-offset)</t>
  </si>
  <si>
    <t>Point</t>
  </si>
  <si>
    <t xml:space="preserve">Offset </t>
  </si>
  <si>
    <t>Point Result</t>
  </si>
  <si>
    <t>Subtract (offset-P)</t>
  </si>
  <si>
    <t>One Quadrant1, One Quadrant 3</t>
  </si>
  <si>
    <t>Add (P+offset, offset+P)</t>
  </si>
  <si>
    <t>MagnitudeSquared</t>
  </si>
  <si>
    <t>magnitudeX</t>
  </si>
  <si>
    <t>magnitudeY</t>
  </si>
  <si>
    <t>Magnitude</t>
  </si>
  <si>
    <t>Area</t>
  </si>
  <si>
    <t>magnitudeX1</t>
  </si>
  <si>
    <t>magnitudeX2</t>
  </si>
  <si>
    <t>magnitudeY1</t>
  </si>
  <si>
    <t>magnitudeY2</t>
  </si>
  <si>
    <t>ConcavityCollinearity</t>
  </si>
  <si>
    <t>DotProduct</t>
  </si>
  <si>
    <t>Magnitude1</t>
  </si>
  <si>
    <t>Magnitude2</t>
  </si>
  <si>
    <t>Pointing Same Way</t>
  </si>
  <si>
    <t>Concave</t>
  </si>
  <si>
    <t>Orthogonal</t>
  </si>
  <si>
    <t>Convex</t>
  </si>
  <si>
    <t>Pointing Opposite Way</t>
  </si>
  <si>
    <t>Expected</t>
  </si>
  <si>
    <t>&gt;0</t>
  </si>
  <si>
    <t>&lt;0</t>
  </si>
  <si>
    <t>Sloped</t>
  </si>
  <si>
    <t>Quad1</t>
  </si>
  <si>
    <t>Quad2</t>
  </si>
  <si>
    <t>Quad3</t>
  </si>
  <si>
    <t>Quad4</t>
  </si>
  <si>
    <t>Rotated 45 deg</t>
  </si>
  <si>
    <t>Mirrored Axis</t>
  </si>
  <si>
    <t>IsConcaveInside/IsConvexInside</t>
  </si>
  <si>
    <t>IsConcaveInside</t>
  </si>
  <si>
    <t>IsConvexInside</t>
  </si>
  <si>
    <t>Quadrant 1</t>
  </si>
  <si>
    <t>Quadrant 2</t>
  </si>
  <si>
    <t>Quadrant 4</t>
  </si>
  <si>
    <t>Quadrant 3</t>
  </si>
  <si>
    <t>x1</t>
  </si>
  <si>
    <t>y1</t>
  </si>
  <si>
    <t>x2</t>
  </si>
  <si>
    <t>y2</t>
  </si>
  <si>
    <t>Tangent</t>
  </si>
  <si>
    <t>Normal</t>
  </si>
  <si>
    <t>Tangent/Normal Vector</t>
  </si>
  <si>
    <t>deg line</t>
  </si>
  <si>
    <t>deg tangent</t>
  </si>
  <si>
    <t>deg normal</t>
  </si>
  <si>
    <t>NormalizeVector</t>
  </si>
  <si>
    <t>expectedMagnitudeX2</t>
  </si>
  <si>
    <t>expectedMagnitudeY2</t>
  </si>
  <si>
    <t>GetDirectionVector</t>
  </si>
  <si>
    <t>AngleRadians</t>
  </si>
  <si>
    <t>RotateVector</t>
  </si>
  <si>
    <t>Xcomponent</t>
  </si>
  <si>
    <t>Ycomponent</t>
  </si>
  <si>
    <t>Rotation(Radians)</t>
  </si>
  <si>
    <t>ResultX</t>
  </si>
  <si>
    <t>ResultY</t>
  </si>
  <si>
    <t>AngleRadians1</t>
  </si>
  <si>
    <t>AngleRadians2</t>
  </si>
  <si>
    <t>deltaAngle</t>
  </si>
  <si>
    <t>radius</t>
  </si>
  <si>
    <t>Arc Length</t>
  </si>
  <si>
    <t>LengthChord/Arc</t>
  </si>
  <si>
    <t>QuadraticFormula</t>
  </si>
  <si>
    <t>a</t>
  </si>
  <si>
    <t>b</t>
  </si>
  <si>
    <t>c</t>
  </si>
  <si>
    <t>result1</t>
  </si>
  <si>
    <t>result2</t>
  </si>
  <si>
    <t>a = 0</t>
  </si>
  <si>
    <t>operad2Sqrt = -3&lt; 0</t>
  </si>
  <si>
    <t>CubicCurveLowestRoot</t>
  </si>
  <si>
    <t>d</t>
  </si>
  <si>
    <t>A</t>
  </si>
  <si>
    <t>B</t>
  </si>
  <si>
    <t>s</t>
  </si>
  <si>
    <t>t</t>
  </si>
  <si>
    <t>tSqrt</t>
  </si>
  <si>
    <t>CubicCurveRoots</t>
  </si>
  <si>
    <t>D &gt; 0</t>
  </si>
  <si>
    <t>a2</t>
  </si>
  <si>
    <t>a1</t>
  </si>
  <si>
    <t>a0</t>
  </si>
  <si>
    <t>Q</t>
  </si>
  <si>
    <t>R</t>
  </si>
  <si>
    <t>D</t>
  </si>
  <si>
    <t>theta</t>
  </si>
  <si>
    <t>x3</t>
  </si>
  <si>
    <t>S</t>
  </si>
  <si>
    <t>T</t>
  </si>
  <si>
    <t>Rotate</t>
  </si>
  <si>
    <t>RotateAboutPoint</t>
  </si>
  <si>
    <t>Xcenter</t>
  </si>
  <si>
    <t>Ycenter</t>
  </si>
  <si>
    <t>SubtractAngleAzimuthRadians_Returns_Difference_Between_Angles</t>
  </si>
  <si>
    <t>angle 1</t>
  </si>
  <si>
    <t>angle 2</t>
  </si>
  <si>
    <t>AddAngleAzimuthDegrees_Returns_Combined_Angles</t>
  </si>
  <si>
    <t>SubtractOverride_Subtracting_Coordinate_Returns_Coordinate_Offset_Between_Coordinates</t>
  </si>
  <si>
    <t>angle</t>
  </si>
  <si>
    <t>radiusI2</t>
  </si>
  <si>
    <t>angleI2</t>
  </si>
  <si>
    <t>radiusJ2</t>
  </si>
  <si>
    <t>angleJ2</t>
  </si>
  <si>
    <t>radiusResult</t>
  </si>
  <si>
    <t>angleResult</t>
  </si>
  <si>
    <t>offset-coordinate</t>
  </si>
  <si>
    <t>coordinate-offset</t>
  </si>
  <si>
    <t>offset+coordinate</t>
  </si>
  <si>
    <t>coordinate+offset</t>
  </si>
  <si>
    <t>Length_Returns_Linear_Distance_Between_Offset_Points</t>
  </si>
  <si>
    <t>radiusI</t>
  </si>
  <si>
    <t>angleI</t>
  </si>
  <si>
    <t>radiusJ</t>
  </si>
  <si>
    <t>angleJ</t>
  </si>
  <si>
    <t>distance</t>
  </si>
  <si>
    <t>InterpolationLinear2D</t>
  </si>
  <si>
    <t>Wii</t>
  </si>
  <si>
    <t>Wij</t>
  </si>
  <si>
    <t>Wji</t>
  </si>
  <si>
    <t>Wjj</t>
  </si>
  <si>
    <t>row i</t>
  </si>
  <si>
    <t>row j</t>
  </si>
  <si>
    <t>col i</t>
  </si>
  <si>
    <t>col j</t>
  </si>
  <si>
    <t>value ii</t>
  </si>
  <si>
    <t>value jj</t>
  </si>
  <si>
    <t>value ij</t>
  </si>
  <si>
    <t>value ji</t>
  </si>
  <si>
    <t>col 0</t>
  </si>
  <si>
    <t>row 0</t>
  </si>
  <si>
    <t>All Corners have same value</t>
  </si>
  <si>
    <t>Top Edge</t>
  </si>
  <si>
    <t>Left Edge</t>
  </si>
  <si>
    <t>Right Edge</t>
  </si>
  <si>
    <t>Pt ii</t>
  </si>
  <si>
    <t>Pt jj</t>
  </si>
  <si>
    <t>Pt ij</t>
  </si>
  <si>
    <t>Pt ji</t>
  </si>
  <si>
    <t>Center of plane sloped along rows</t>
  </si>
  <si>
    <t>Center of plane sloped along columns</t>
  </si>
  <si>
    <t>All corners have different value, point not centered</t>
  </si>
  <si>
    <t>Bottom Edge</t>
  </si>
  <si>
    <t>Width of 0</t>
  </si>
  <si>
    <t>Heigh of 0</t>
  </si>
  <si>
    <t>IntersectionX</t>
  </si>
  <si>
    <t>vertical line</t>
  </si>
  <si>
    <t>within points</t>
  </si>
  <si>
    <t>outside of points</t>
  </si>
  <si>
    <t>points are equal</t>
  </si>
  <si>
    <t>negative slope</t>
  </si>
  <si>
    <t>parallel</t>
  </si>
  <si>
    <t>collinear</t>
  </si>
  <si>
    <t>Theta</t>
  </si>
  <si>
    <t>p</t>
  </si>
  <si>
    <t>L</t>
  </si>
  <si>
    <t>xe</t>
  </si>
  <si>
    <t>e</t>
  </si>
  <si>
    <t>Circle</t>
  </si>
  <si>
    <t>Ellipse</t>
  </si>
  <si>
    <t>Parabola</t>
  </si>
  <si>
    <t>Hyperbola</t>
  </si>
  <si>
    <t>r = a</t>
  </si>
  <si>
    <t>+r = a-c</t>
  </si>
  <si>
    <t>+r = c-a</t>
  </si>
  <si>
    <t>r_right</t>
  </si>
  <si>
    <t>r_left</t>
  </si>
  <si>
    <t>Focus</t>
  </si>
  <si>
    <r>
      <t>θ</t>
    </r>
    <r>
      <rPr>
        <vertAlign val="subscript"/>
        <sz val="11"/>
        <color theme="1"/>
        <rFont val="Calibri"/>
        <family val="2"/>
      </rPr>
      <t>1</t>
    </r>
  </si>
  <si>
    <t>Δθ</t>
  </si>
  <si>
    <r>
      <t>r</t>
    </r>
    <r>
      <rPr>
        <vertAlign val="subscript"/>
        <sz val="11"/>
        <color theme="1"/>
        <rFont val="Calibri"/>
        <family val="2"/>
      </rPr>
      <t>1</t>
    </r>
  </si>
  <si>
    <t>Δr</t>
  </si>
  <si>
    <r>
      <t>θ</t>
    </r>
    <r>
      <rPr>
        <vertAlign val="subscript"/>
        <sz val="11"/>
        <color theme="1"/>
        <rFont val="Calibri"/>
        <family val="2"/>
      </rPr>
      <t>2</t>
    </r>
  </si>
  <si>
    <r>
      <t>r</t>
    </r>
    <r>
      <rPr>
        <vertAlign val="subscript"/>
        <sz val="11"/>
        <color theme="1"/>
        <rFont val="Calibri"/>
        <family val="2"/>
      </rPr>
      <t>2</t>
    </r>
  </si>
  <si>
    <t>Bezier Handles</t>
  </si>
  <si>
    <t>Handle 1</t>
  </si>
  <si>
    <t>Handle 2</t>
  </si>
  <si>
    <t>Pt.</t>
  </si>
  <si>
    <t>m</t>
  </si>
  <si>
    <t>θ</t>
  </si>
  <si>
    <t>1i</t>
  </si>
  <si>
    <t>2i</t>
  </si>
  <si>
    <t>1j</t>
  </si>
  <si>
    <t>2j</t>
  </si>
  <si>
    <t>Delta</t>
  </si>
  <si>
    <t>Order</t>
  </si>
  <si>
    <t>Intercept</t>
  </si>
  <si>
    <t>Slope Designator. Length determines weight towards corner</t>
  </si>
  <si>
    <t>Bezier Bounds</t>
  </si>
  <si>
    <t>Handle Pt o</t>
  </si>
  <si>
    <t>Handle Pt i</t>
  </si>
  <si>
    <t>Handle Pt j</t>
  </si>
  <si>
    <t>Handle 1 slope</t>
  </si>
  <si>
    <t>Handle 2 slope</t>
  </si>
  <si>
    <t>Handle 1 radius</t>
  </si>
  <si>
    <t>Handle 2 radius</t>
  </si>
  <si>
    <t>Increment for handle slope controls</t>
  </si>
  <si>
    <t>Increment for handle radius controls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</si>
</sst>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"/>
    <numFmt numFmtId="166" formatCode="0.000000"/>
    <numFmt numFmtId="167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11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59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0" xfId="0" applyFill="1"/>
    <xf numFmtId="0" fontId="1" fillId="0" borderId="0" xfId="0" applyFont="1" applyFill="1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2" borderId="0" xfId="0" applyFont="1" applyFill="1"/>
    <xf numFmtId="0" fontId="0" fillId="3" borderId="0" xfId="0" applyFill="1"/>
    <xf numFmtId="0" fontId="2" fillId="0" borderId="0" xfId="0" applyFont="1"/>
    <xf numFmtId="0" fontId="0" fillId="2" borderId="1" xfId="0" applyFill="1" applyBorder="1"/>
    <xf numFmtId="0" fontId="0" fillId="2" borderId="0" xfId="0" applyFill="1" applyBorder="1"/>
    <xf numFmtId="0" fontId="1" fillId="0" borderId="1" xfId="0" applyFont="1" applyBorder="1"/>
    <xf numFmtId="0" fontId="1" fillId="0" borderId="0" xfId="0" applyFont="1" applyBorder="1"/>
    <xf numFmtId="0" fontId="0" fillId="0" borderId="1" xfId="0" applyBorder="1"/>
    <xf numFmtId="0" fontId="0" fillId="0" borderId="0" xfId="0" applyBorder="1"/>
    <xf numFmtId="0" fontId="0" fillId="2" borderId="2" xfId="0" applyFill="1" applyBorder="1"/>
    <xf numFmtId="0" fontId="1" fillId="0" borderId="2" xfId="0" applyFont="1" applyBorder="1"/>
    <xf numFmtId="0" fontId="0" fillId="0" borderId="2" xfId="0" applyBorder="1"/>
    <xf numFmtId="0" fontId="2" fillId="2" borderId="0" xfId="0" applyFont="1" applyFill="1"/>
    <xf numFmtId="0" fontId="0" fillId="0" borderId="0" xfId="0" applyFill="1" applyBorder="1"/>
    <xf numFmtId="165" fontId="0" fillId="0" borderId="0" xfId="0" applyNumberFormat="1"/>
    <xf numFmtId="0" fontId="1" fillId="4" borderId="0" xfId="0" applyFont="1" applyFill="1"/>
    <xf numFmtId="0" fontId="0" fillId="4" borderId="0" xfId="0" applyFill="1"/>
    <xf numFmtId="0" fontId="0" fillId="5" borderId="0" xfId="0" applyFill="1"/>
    <xf numFmtId="0" fontId="0" fillId="2" borderId="0" xfId="0" quotePrefix="1" applyFill="1"/>
    <xf numFmtId="166" fontId="0" fillId="0" borderId="0" xfId="0" applyNumberFormat="1"/>
    <xf numFmtId="0" fontId="3" fillId="0" borderId="0" xfId="0" applyFont="1" applyFill="1" applyBorder="1"/>
    <xf numFmtId="0" fontId="3" fillId="0" borderId="1" xfId="0" applyFont="1" applyFill="1" applyBorder="1"/>
    <xf numFmtId="0" fontId="0" fillId="0" borderId="2" xfId="0" applyFill="1" applyBorder="1"/>
    <xf numFmtId="167" fontId="0" fillId="0" borderId="0" xfId="0" applyNumberFormat="1"/>
    <xf numFmtId="167" fontId="3" fillId="0" borderId="0" xfId="1" applyNumberFormat="1"/>
    <xf numFmtId="0" fontId="0" fillId="6" borderId="0" xfId="0" applyFill="1"/>
    <xf numFmtId="2" fontId="3" fillId="6" borderId="0" xfId="0" applyNumberFormat="1" applyFont="1" applyFill="1"/>
    <xf numFmtId="167" fontId="0" fillId="2" borderId="0" xfId="0" applyNumberFormat="1" applyFill="1"/>
    <xf numFmtId="0" fontId="1" fillId="0" borderId="0" xfId="0" applyFont="1" applyFill="1" applyBorder="1"/>
    <xf numFmtId="1" fontId="0" fillId="2" borderId="0" xfId="0" applyNumberFormat="1" applyFill="1"/>
    <xf numFmtId="0" fontId="2" fillId="0" borderId="1" xfId="0" applyFont="1" applyBorder="1"/>
    <xf numFmtId="0" fontId="2" fillId="0" borderId="2" xfId="0" applyFont="1" applyBorder="1"/>
    <xf numFmtId="0" fontId="2" fillId="0" borderId="0" xfId="0" applyFont="1" applyBorder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6" fontId="0" fillId="6" borderId="0" xfId="0" applyNumberFormat="1" applyFill="1"/>
    <xf numFmtId="0" fontId="0" fillId="6" borderId="0" xfId="0" quotePrefix="1" applyFill="1"/>
    <xf numFmtId="167" fontId="0" fillId="6" borderId="0" xfId="0" applyNumberFormat="1" applyFill="1"/>
    <xf numFmtId="0" fontId="0" fillId="7" borderId="0" xfId="0" applyFill="1"/>
    <xf numFmtId="167" fontId="0" fillId="0" borderId="0" xfId="0" applyNumberFormat="1" applyFill="1"/>
    <xf numFmtId="0" fontId="1" fillId="7" borderId="0" xfId="0" applyFont="1" applyFill="1"/>
    <xf numFmtId="0" fontId="1" fillId="6" borderId="0" xfId="0" applyFont="1" applyFill="1"/>
    <xf numFmtId="167" fontId="1" fillId="6" borderId="0" xfId="0" applyNumberFormat="1" applyFont="1" applyFill="1"/>
    <xf numFmtId="0" fontId="1" fillId="8" borderId="0" xfId="0" applyFont="1" applyFill="1"/>
    <xf numFmtId="0" fontId="0" fillId="8" borderId="0" xfId="0" applyFill="1"/>
    <xf numFmtId="0" fontId="2" fillId="0" borderId="0" xfId="0" applyFont="1" applyFill="1"/>
    <xf numFmtId="0" fontId="2" fillId="9" borderId="0" xfId="0" applyFont="1" applyFill="1"/>
    <xf numFmtId="0" fontId="5" fillId="0" borderId="0" xfId="0" applyFont="1"/>
    <xf numFmtId="0" fontId="7" fillId="0" borderId="0" xfId="0" applyFont="1"/>
  </cellXfs>
  <cellStyles count="2">
    <cellStyle name="Normal" xfId="0" builtinId="0"/>
    <cellStyle name="Normal 2 2" xfId="1" xr:uid="{C4FB165C-2132-42F8-944E-A2831D18FA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2436435533664E-2"/>
          <c:y val="5.1400554097404488E-2"/>
          <c:w val="0.66936140691664647"/>
          <c:h val="0.89719889180519097"/>
        </c:manualLayout>
      </c:layout>
      <c:scatterChart>
        <c:scatterStyle val="lineMarker"/>
        <c:varyColors val="0"/>
        <c:ser>
          <c:idx val="0"/>
          <c:order val="0"/>
          <c:tx>
            <c:v>Bezier 1</c:v>
          </c:tx>
          <c:spPr>
            <a:ln w="28575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circle"/>
            <c:size val="4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'Curved Areas Calcs'!$C$9:$C$11</c:f>
              <c:numCache>
                <c:formatCode>General</c:formatCode>
                <c:ptCount val="3"/>
                <c:pt idx="0">
                  <c:v>-2.4089240919219868</c:v>
                </c:pt>
                <c:pt idx="1">
                  <c:v>0</c:v>
                </c:pt>
                <c:pt idx="2">
                  <c:v>2.4089240919219868</c:v>
                </c:pt>
              </c:numCache>
            </c:numRef>
          </c:xVal>
          <c:yVal>
            <c:numRef>
              <c:f>'Curved Areas Calcs'!$D$9:$D$11</c:f>
              <c:numCache>
                <c:formatCode>General</c:formatCode>
                <c:ptCount val="3"/>
                <c:pt idx="0">
                  <c:v>-5.165954386108905</c:v>
                </c:pt>
                <c:pt idx="1">
                  <c:v>0</c:v>
                </c:pt>
                <c:pt idx="2">
                  <c:v>5.165954386108905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F-4C2B-8ACB-26543044B35B}"/>
            </c:ext>
          </c:extLst>
        </c:ser>
        <c:ser>
          <c:idx val="1"/>
          <c:order val="1"/>
          <c:tx>
            <c:v>Bezier 2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circle"/>
            <c:size val="4"/>
            <c:spPr>
              <a:solidFill>
                <a:srgbClr val="FFFF00"/>
              </a:solidFill>
              <a:ln>
                <a:solidFill>
                  <a:srgbClr val="1F497D">
                    <a:lumMod val="60000"/>
                    <a:lumOff val="40000"/>
                  </a:srgbClr>
                </a:solidFill>
              </a:ln>
            </c:spPr>
          </c:marker>
          <c:xVal>
            <c:numRef>
              <c:f>'Curved Areas Calcs'!$H$9:$H$11</c:f>
              <c:numCache>
                <c:formatCode>General</c:formatCode>
                <c:ptCount val="3"/>
                <c:pt idx="0">
                  <c:v>7.2422835533724648</c:v>
                </c:pt>
                <c:pt idx="1">
                  <c:v>10</c:v>
                </c:pt>
                <c:pt idx="2">
                  <c:v>12.757716446627535</c:v>
                </c:pt>
              </c:numCache>
            </c:numRef>
          </c:xVal>
          <c:yVal>
            <c:numRef>
              <c:f>'Curved Areas Calcs'!$I$9:$I$11</c:f>
              <c:numCache>
                <c:formatCode>General</c:formatCode>
                <c:ptCount val="3"/>
                <c:pt idx="0">
                  <c:v>-2.7577164466275352</c:v>
                </c:pt>
                <c:pt idx="1">
                  <c:v>0</c:v>
                </c:pt>
                <c:pt idx="2">
                  <c:v>2.7577164466275352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F-4C2B-8ACB-26543044B35B}"/>
            </c:ext>
          </c:extLst>
        </c:ser>
        <c:ser>
          <c:idx val="2"/>
          <c:order val="2"/>
          <c:tx>
            <c:v>Curve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'Curved Areas Calcs'!$B$16:$B$1016</c:f>
              <c:numCache>
                <c:formatCode>General</c:formatCode>
                <c:ptCount val="1001"/>
                <c:pt idx="0">
                  <c:v>0</c:v>
                </c:pt>
                <c:pt idx="1">
                  <c:v>7.2990553290133778E-2</c:v>
                </c:pt>
                <c:pt idx="2">
                  <c:v>0.14740876733167854</c:v>
                </c:pt>
                <c:pt idx="3">
                  <c:v>0.22322764165432821</c:v>
                </c:pt>
                <c:pt idx="4">
                  <c:v>0.30042017578777658</c:v>
                </c:pt>
                <c:pt idx="5">
                  <c:v>0.37895936926171775</c:v>
                </c:pt>
                <c:pt idx="6">
                  <c:v>0.45881822160584546</c:v>
                </c:pt>
                <c:pt idx="7">
                  <c:v>0.53996973234985357</c:v>
                </c:pt>
                <c:pt idx="8">
                  <c:v>0.62238690102343586</c:v>
                </c:pt>
                <c:pt idx="9">
                  <c:v>0.70604272715628658</c:v>
                </c:pt>
                <c:pt idx="10">
                  <c:v>0.79091021027809916</c:v>
                </c:pt>
                <c:pt idx="11">
                  <c:v>0.87696234991856803</c:v>
                </c:pt>
                <c:pt idx="12">
                  <c:v>0.9641721456073864</c:v>
                </c:pt>
                <c:pt idx="13">
                  <c:v>1.052512596874249</c:v>
                </c:pt>
                <c:pt idx="14">
                  <c:v>1.1419567032488489</c:v>
                </c:pt>
                <c:pt idx="15">
                  <c:v>1.2324774642608809</c:v>
                </c:pt>
                <c:pt idx="16">
                  <c:v>1.3240478794400381</c:v>
                </c:pt>
                <c:pt idx="17">
                  <c:v>1.4166409483160149</c:v>
                </c:pt>
                <c:pt idx="18">
                  <c:v>1.5102296704185043</c:v>
                </c:pt>
                <c:pt idx="19">
                  <c:v>1.6047870452772015</c:v>
                </c:pt>
                <c:pt idx="20">
                  <c:v>1.7002860724217999</c:v>
                </c:pt>
                <c:pt idx="21">
                  <c:v>1.7966997513819927</c:v>
                </c:pt>
                <c:pt idx="22">
                  <c:v>1.8940010816874746</c:v>
                </c:pt>
                <c:pt idx="23">
                  <c:v>1.9921630628679392</c:v>
                </c:pt>
                <c:pt idx="24">
                  <c:v>2.09115869445308</c:v>
                </c:pt>
                <c:pt idx="25">
                  <c:v>2.1909609759725917</c:v>
                </c:pt>
                <c:pt idx="26">
                  <c:v>2.2915429069561672</c:v>
                </c:pt>
                <c:pt idx="27">
                  <c:v>2.3928774869335019</c:v>
                </c:pt>
                <c:pt idx="28">
                  <c:v>2.494937715434288</c:v>
                </c:pt>
                <c:pt idx="29">
                  <c:v>2.5976965919882211</c:v>
                </c:pt>
                <c:pt idx="30">
                  <c:v>2.7011271161249937</c:v>
                </c:pt>
                <c:pt idx="31">
                  <c:v>2.8052022873742994</c:v>
                </c:pt>
                <c:pt idx="32">
                  <c:v>2.9098951052658335</c:v>
                </c:pt>
                <c:pt idx="33">
                  <c:v>3.0151785693292883</c:v>
                </c:pt>
                <c:pt idx="34">
                  <c:v>3.1210256790943602</c:v>
                </c:pt>
                <c:pt idx="35">
                  <c:v>3.2274094340907404</c:v>
                </c:pt>
                <c:pt idx="36">
                  <c:v>3.3343028338481244</c:v>
                </c:pt>
                <c:pt idx="37">
                  <c:v>3.4416788778962055</c:v>
                </c:pt>
                <c:pt idx="38">
                  <c:v>3.5495105657646775</c:v>
                </c:pt>
                <c:pt idx="39">
                  <c:v>3.6577708969832345</c:v>
                </c:pt>
                <c:pt idx="40">
                  <c:v>3.7664328710815695</c:v>
                </c:pt>
                <c:pt idx="41">
                  <c:v>3.8754694875893789</c:v>
                </c:pt>
                <c:pt idx="42">
                  <c:v>3.9848537460363542</c:v>
                </c:pt>
                <c:pt idx="43">
                  <c:v>4.0945586459521897</c:v>
                </c:pt>
                <c:pt idx="44">
                  <c:v>4.2045571868665794</c:v>
                </c:pt>
                <c:pt idx="45">
                  <c:v>4.3148223683092191</c:v>
                </c:pt>
                <c:pt idx="46">
                  <c:v>4.4253271898098001</c:v>
                </c:pt>
                <c:pt idx="47">
                  <c:v>4.5360446508980168</c:v>
                </c:pt>
                <c:pt idx="48">
                  <c:v>4.6469477511035633</c:v>
                </c:pt>
                <c:pt idx="49">
                  <c:v>4.7580094899561338</c:v>
                </c:pt>
                <c:pt idx="50">
                  <c:v>4.8692028669854217</c:v>
                </c:pt>
                <c:pt idx="51">
                  <c:v>4.980500881721122</c:v>
                </c:pt>
                <c:pt idx="52">
                  <c:v>5.0918765336929273</c:v>
                </c:pt>
                <c:pt idx="53">
                  <c:v>5.2033028224305324</c:v>
                </c:pt>
                <c:pt idx="54">
                  <c:v>5.3147527474636318</c:v>
                </c:pt>
                <c:pt idx="55">
                  <c:v>5.426199308321916</c:v>
                </c:pt>
                <c:pt idx="56">
                  <c:v>5.5376155045350837</c:v>
                </c:pt>
                <c:pt idx="57">
                  <c:v>5.6489743356328255</c:v>
                </c:pt>
                <c:pt idx="58">
                  <c:v>5.7602488011448365</c:v>
                </c:pt>
                <c:pt idx="59">
                  <c:v>5.8714119006008101</c:v>
                </c:pt>
                <c:pt idx="60">
                  <c:v>5.9824366335304404</c:v>
                </c:pt>
                <c:pt idx="61">
                  <c:v>6.0932959994634208</c:v>
                </c:pt>
                <c:pt idx="62">
                  <c:v>6.2039629979294464</c:v>
                </c:pt>
                <c:pt idx="63">
                  <c:v>6.3144106284582096</c:v>
                </c:pt>
                <c:pt idx="64">
                  <c:v>6.4246118905794063</c:v>
                </c:pt>
                <c:pt idx="65">
                  <c:v>6.5345397838227282</c:v>
                </c:pt>
                <c:pt idx="66">
                  <c:v>6.6441673077178702</c:v>
                </c:pt>
                <c:pt idx="67">
                  <c:v>6.7534674617945267</c:v>
                </c:pt>
                <c:pt idx="68">
                  <c:v>6.8624132455823901</c:v>
                </c:pt>
                <c:pt idx="69">
                  <c:v>6.9709776586111554</c:v>
                </c:pt>
                <c:pt idx="70">
                  <c:v>7.0791337004105168</c:v>
                </c:pt>
                <c:pt idx="71">
                  <c:v>7.1868543705101668</c:v>
                </c:pt>
                <c:pt idx="72">
                  <c:v>7.2941126684398014</c:v>
                </c:pt>
                <c:pt idx="73">
                  <c:v>7.4008815937291121</c:v>
                </c:pt>
                <c:pt idx="74">
                  <c:v>7.5071341459077949</c:v>
                </c:pt>
                <c:pt idx="75">
                  <c:v>7.6128433245055431</c:v>
                </c:pt>
                <c:pt idx="76">
                  <c:v>7.7179821290520483</c:v>
                </c:pt>
                <c:pt idx="77">
                  <c:v>7.822523559077009</c:v>
                </c:pt>
                <c:pt idx="78">
                  <c:v>7.9264406141101142</c:v>
                </c:pt>
                <c:pt idx="79">
                  <c:v>8.0297062936810608</c:v>
                </c:pt>
                <c:pt idx="80">
                  <c:v>8.132293597319542</c:v>
                </c:pt>
                <c:pt idx="81">
                  <c:v>8.2341755245552513</c:v>
                </c:pt>
                <c:pt idx="82">
                  <c:v>8.3353250749178827</c:v>
                </c:pt>
                <c:pt idx="83">
                  <c:v>8.4357152479371305</c:v>
                </c:pt>
                <c:pt idx="84">
                  <c:v>8.5353190431426906</c:v>
                </c:pt>
                <c:pt idx="85">
                  <c:v>8.6341094600642521</c:v>
                </c:pt>
                <c:pt idx="86">
                  <c:v>8.7320594982315107</c:v>
                </c:pt>
                <c:pt idx="87">
                  <c:v>8.8291421571741626</c:v>
                </c:pt>
                <c:pt idx="88">
                  <c:v>8.9253304364219002</c:v>
                </c:pt>
                <c:pt idx="89">
                  <c:v>9.0205973355044176</c:v>
                </c:pt>
                <c:pt idx="90">
                  <c:v>9.114915853951409</c:v>
                </c:pt>
                <c:pt idx="91">
                  <c:v>9.2082589912925652</c:v>
                </c:pt>
                <c:pt idx="92">
                  <c:v>9.3005997470575839</c:v>
                </c:pt>
                <c:pt idx="93">
                  <c:v>9.3919111207761574</c:v>
                </c:pt>
                <c:pt idx="94">
                  <c:v>9.4821661119779819</c:v>
                </c:pt>
                <c:pt idx="95">
                  <c:v>9.5713377201927461</c:v>
                </c:pt>
                <c:pt idx="96">
                  <c:v>9.6593989449501496</c:v>
                </c:pt>
                <c:pt idx="97">
                  <c:v>9.7463227857798831</c:v>
                </c:pt>
                <c:pt idx="98">
                  <c:v>9.8320822422116407</c:v>
                </c:pt>
                <c:pt idx="99">
                  <c:v>9.9166503137751167</c:v>
                </c:pt>
                <c:pt idx="100">
                  <c:v>10.000000000000005</c:v>
                </c:pt>
              </c:numCache>
            </c:numRef>
          </c:xVal>
          <c:yVal>
            <c:numRef>
              <c:f>'Curved Areas Calcs'!$C$16:$C$1016</c:f>
              <c:numCache>
                <c:formatCode>General</c:formatCode>
                <c:ptCount val="1001"/>
                <c:pt idx="0">
                  <c:v>0</c:v>
                </c:pt>
                <c:pt idx="1">
                  <c:v>0.15107551503011177</c:v>
                </c:pt>
                <c:pt idx="2">
                  <c:v>0.29443988100390556</c:v>
                </c:pt>
                <c:pt idx="3">
                  <c:v>0.43023572399637067</c:v>
                </c:pt>
                <c:pt idx="4">
                  <c:v>0.5586056700824964</c:v>
                </c:pt>
                <c:pt idx="5">
                  <c:v>0.67969234533727185</c:v>
                </c:pt>
                <c:pt idx="6">
                  <c:v>0.79363837583568653</c:v>
                </c:pt>
                <c:pt idx="7">
                  <c:v>0.90058638765272936</c:v>
                </c:pt>
                <c:pt idx="8">
                  <c:v>1.0006790068633897</c:v>
                </c:pt>
                <c:pt idx="9">
                  <c:v>1.094058859542657</c:v>
                </c:pt>
                <c:pt idx="10">
                  <c:v>1.1808685717655205</c:v>
                </c:pt>
                <c:pt idx="11">
                  <c:v>1.261250769606969</c:v>
                </c:pt>
                <c:pt idx="12">
                  <c:v>1.3353480791419925</c:v>
                </c:pt>
                <c:pt idx="13">
                  <c:v>1.4033031264455798</c:v>
                </c:pt>
                <c:pt idx="14">
                  <c:v>1.4652585375927201</c:v>
                </c:pt>
                <c:pt idx="15">
                  <c:v>1.5213569386584027</c:v>
                </c:pt>
                <c:pt idx="16">
                  <c:v>1.5717409557176172</c:v>
                </c:pt>
                <c:pt idx="17">
                  <c:v>1.6165532148453525</c:v>
                </c:pt>
                <c:pt idx="18">
                  <c:v>1.6559363421165978</c:v>
                </c:pt>
                <c:pt idx="19">
                  <c:v>1.6900329636063427</c:v>
                </c:pt>
                <c:pt idx="20">
                  <c:v>1.7189857053895763</c:v>
                </c:pt>
                <c:pt idx="21">
                  <c:v>1.7429371935412874</c:v>
                </c:pt>
                <c:pt idx="22">
                  <c:v>1.7620300541364657</c:v>
                </c:pt>
                <c:pt idx="23">
                  <c:v>1.776406913250101</c:v>
                </c:pt>
                <c:pt idx="24">
                  <c:v>1.7862103969571816</c:v>
                </c:pt>
                <c:pt idx="25">
                  <c:v>1.7915831313326973</c:v>
                </c:pt>
                <c:pt idx="26">
                  <c:v>1.7926677424516373</c:v>
                </c:pt>
                <c:pt idx="27">
                  <c:v>1.7896068563889904</c:v>
                </c:pt>
                <c:pt idx="28">
                  <c:v>1.7825430992197462</c:v>
                </c:pt>
                <c:pt idx="29">
                  <c:v>1.7716190970188945</c:v>
                </c:pt>
                <c:pt idx="30">
                  <c:v>1.7569774758614234</c:v>
                </c:pt>
                <c:pt idx="31">
                  <c:v>1.7387608618223225</c:v>
                </c:pt>
                <c:pt idx="32">
                  <c:v>1.717111880976582</c:v>
                </c:pt>
                <c:pt idx="33">
                  <c:v>1.6921731593991902</c:v>
                </c:pt>
                <c:pt idx="34">
                  <c:v>1.6640873231651363</c:v>
                </c:pt>
                <c:pt idx="35">
                  <c:v>1.6329969983494106</c:v>
                </c:pt>
                <c:pt idx="36">
                  <c:v>1.599044811027001</c:v>
                </c:pt>
                <c:pt idx="37">
                  <c:v>1.5623733872728975</c:v>
                </c:pt>
                <c:pt idx="38">
                  <c:v>1.5231253531620896</c:v>
                </c:pt>
                <c:pt idx="39">
                  <c:v>1.4814433347695661</c:v>
                </c:pt>
                <c:pt idx="40">
                  <c:v>1.4374699581703165</c:v>
                </c:pt>
                <c:pt idx="41">
                  <c:v>1.3913478494393297</c:v>
                </c:pt>
                <c:pt idx="42">
                  <c:v>1.343219634651595</c:v>
                </c:pt>
                <c:pt idx="43">
                  <c:v>1.2932279398821023</c:v>
                </c:pt>
                <c:pt idx="44">
                  <c:v>1.2415153912058403</c:v>
                </c:pt>
                <c:pt idx="45">
                  <c:v>1.1882246146977984</c:v>
                </c:pt>
                <c:pt idx="46">
                  <c:v>1.1334982364329651</c:v>
                </c:pt>
                <c:pt idx="47">
                  <c:v>1.0774788824863315</c:v>
                </c:pt>
                <c:pt idx="48">
                  <c:v>1.0203091789328851</c:v>
                </c:pt>
                <c:pt idx="49">
                  <c:v>0.96213175184761535</c:v>
                </c:pt>
                <c:pt idx="50">
                  <c:v>0.90308922730551244</c:v>
                </c:pt>
                <c:pt idx="51">
                  <c:v>0.8433242313815652</c:v>
                </c:pt>
                <c:pt idx="52">
                  <c:v>0.78297939015076246</c:v>
                </c:pt>
                <c:pt idx="53">
                  <c:v>0.72219732968809436</c:v>
                </c:pt>
                <c:pt idx="54">
                  <c:v>0.66112067606854885</c:v>
                </c:pt>
                <c:pt idx="55">
                  <c:v>0.59989205536711698</c:v>
                </c:pt>
                <c:pt idx="56">
                  <c:v>0.53865409365878603</c:v>
                </c:pt>
                <c:pt idx="57">
                  <c:v>0.47754941701854681</c:v>
                </c:pt>
                <c:pt idx="58">
                  <c:v>0.41672065152138749</c:v>
                </c:pt>
                <c:pt idx="59">
                  <c:v>0.35631042324229822</c:v>
                </c:pt>
                <c:pt idx="60">
                  <c:v>0.29646135825626763</c:v>
                </c:pt>
                <c:pt idx="61">
                  <c:v>0.23731608263828563</c:v>
                </c:pt>
                <c:pt idx="62">
                  <c:v>0.1790172224633404</c:v>
                </c:pt>
                <c:pt idx="63">
                  <c:v>0.12170740380642209</c:v>
                </c:pt>
                <c:pt idx="64">
                  <c:v>6.5529252742519528E-2</c:v>
                </c:pt>
                <c:pt idx="65">
                  <c:v>1.0625395346622435E-2</c:v>
                </c:pt>
                <c:pt idx="66">
                  <c:v>-4.2861542306280143E-2</c:v>
                </c:pt>
                <c:pt idx="67">
                  <c:v>-9.4788934141199599E-2</c:v>
                </c:pt>
                <c:pt idx="68">
                  <c:v>-0.14501415408314533</c:v>
                </c:pt>
                <c:pt idx="69">
                  <c:v>-0.19339457605712917</c:v>
                </c:pt>
                <c:pt idx="70">
                  <c:v>-0.23978757398816175</c:v>
                </c:pt>
                <c:pt idx="71">
                  <c:v>-0.28405052180125356</c:v>
                </c:pt>
                <c:pt idx="72">
                  <c:v>-0.32604079342141512</c:v>
                </c:pt>
                <c:pt idx="73">
                  <c:v>-0.3656157627736577</c:v>
                </c:pt>
                <c:pt idx="74">
                  <c:v>-0.40263280378299182</c:v>
                </c:pt>
                <c:pt idx="75">
                  <c:v>-0.43694929037442809</c:v>
                </c:pt>
                <c:pt idx="76">
                  <c:v>-0.46842259647297724</c:v>
                </c:pt>
                <c:pt idx="77">
                  <c:v>-0.49691009600365055</c:v>
                </c:pt>
                <c:pt idx="78">
                  <c:v>-0.52226916289145786</c:v>
                </c:pt>
                <c:pt idx="79">
                  <c:v>-0.54435717106141068</c:v>
                </c:pt>
                <c:pt idx="80">
                  <c:v>-0.5630314944385193</c:v>
                </c:pt>
                <c:pt idx="81">
                  <c:v>-0.57814950694779477</c:v>
                </c:pt>
                <c:pt idx="82">
                  <c:v>-0.5895685825142476</c:v>
                </c:pt>
                <c:pt idx="83">
                  <c:v>-0.59714609506288885</c:v>
                </c:pt>
                <c:pt idx="84">
                  <c:v>-0.60073941851872914</c:v>
                </c:pt>
                <c:pt idx="85">
                  <c:v>-0.60020592680677876</c:v>
                </c:pt>
                <c:pt idx="86">
                  <c:v>-0.59540299385204909</c:v>
                </c:pt>
                <c:pt idx="87">
                  <c:v>-0.58618799357955043</c:v>
                </c:pt>
                <c:pt idx="88">
                  <c:v>-0.57241829991429372</c:v>
                </c:pt>
                <c:pt idx="89">
                  <c:v>-0.5539512867812898</c:v>
                </c:pt>
                <c:pt idx="90">
                  <c:v>-0.53064432810554918</c:v>
                </c:pt>
                <c:pt idx="91">
                  <c:v>-0.50235479781208281</c:v>
                </c:pt>
                <c:pt idx="92">
                  <c:v>-0.46894006982590108</c:v>
                </c:pt>
                <c:pt idx="93">
                  <c:v>-0.43025751807201518</c:v>
                </c:pt>
                <c:pt idx="94">
                  <c:v>-0.38616451647543576</c:v>
                </c:pt>
                <c:pt idx="95">
                  <c:v>-0.33651843896117334</c:v>
                </c:pt>
                <c:pt idx="96">
                  <c:v>-0.28117665945423886</c:v>
                </c:pt>
                <c:pt idx="97">
                  <c:v>-0.21999655187964301</c:v>
                </c:pt>
                <c:pt idx="98">
                  <c:v>-0.15283549016239648</c:v>
                </c:pt>
                <c:pt idx="99">
                  <c:v>-7.9550848227510046E-2</c:v>
                </c:pt>
                <c:pt idx="100">
                  <c:v>5.5110245299800648E-15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FF-4C2B-8ACB-26543044B35B}"/>
            </c:ext>
          </c:extLst>
        </c:ser>
        <c:ser>
          <c:idx val="3"/>
          <c:order val="3"/>
          <c:tx>
            <c:v>Bezier Bounds</c:v>
          </c:tx>
          <c:xVal>
            <c:numRef>
              <c:f>'Curved Areas Calcs'!$H$16:$H$19</c:f>
              <c:numCache>
                <c:formatCode>General</c:formatCode>
                <c:ptCount val="4"/>
                <c:pt idx="0">
                  <c:v>0</c:v>
                </c:pt>
                <c:pt idx="1">
                  <c:v>2.4089240919219868</c:v>
                </c:pt>
                <c:pt idx="2">
                  <c:v>7.2422835533724648</c:v>
                </c:pt>
                <c:pt idx="3">
                  <c:v>10</c:v>
                </c:pt>
              </c:numCache>
            </c:numRef>
          </c:xVal>
          <c:yVal>
            <c:numRef>
              <c:f>'Curved Areas Calcs'!$I$16:$I$19</c:f>
              <c:numCache>
                <c:formatCode>General</c:formatCode>
                <c:ptCount val="4"/>
                <c:pt idx="0">
                  <c:v>0</c:v>
                </c:pt>
                <c:pt idx="1">
                  <c:v>5.165954386108905</c:v>
                </c:pt>
                <c:pt idx="2">
                  <c:v>-2.7577164466275352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FF-4C2B-8ACB-26543044B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42080"/>
        <c:axId val="178540544"/>
      </c:scatterChart>
      <c:valAx>
        <c:axId val="178542080"/>
        <c:scaling>
          <c:orientation val="minMax"/>
          <c:max val="11"/>
          <c:min val="-1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78540544"/>
        <c:crosses val="autoZero"/>
        <c:crossBetween val="midCat"/>
        <c:majorUnit val="1"/>
      </c:valAx>
      <c:valAx>
        <c:axId val="178540544"/>
        <c:scaling>
          <c:orientation val="minMax"/>
          <c:max val="6"/>
          <c:min val="-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542080"/>
        <c:crosses val="autoZero"/>
        <c:crossBetween val="midCat"/>
        <c:majorUnit val="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592231</xdr:colOff>
      <xdr:row>0</xdr:row>
      <xdr:rowOff>50986</xdr:rowOff>
    </xdr:from>
    <xdr:to>
      <xdr:col>25</xdr:col>
      <xdr:colOff>305605</xdr:colOff>
      <xdr:row>27</xdr:row>
      <xdr:rowOff>60511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82FB04-2DA9-40EE-93F4-A1FA3512CC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15240</xdr:rowOff>
        </xdr:from>
        <xdr:to>
          <xdr:col>3</xdr:col>
          <xdr:colOff>457200</xdr:colOff>
          <xdr:row>1</xdr:row>
          <xdr:rowOff>171450</xdr:rowOff>
        </xdr:to>
        <xdr:sp macro="" textlink="">
          <xdr:nvSpPr>
            <xdr:cNvPr id="15361" name="SpinButtonTheta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1F41351D-6961-40AD-9533-7F36CDDED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</xdr:row>
          <xdr:rowOff>30480</xdr:rowOff>
        </xdr:from>
        <xdr:to>
          <xdr:col>3</xdr:col>
          <xdr:colOff>548640</xdr:colOff>
          <xdr:row>4</xdr:row>
          <xdr:rowOff>19050</xdr:rowOff>
        </xdr:to>
        <xdr:sp macro="" textlink="">
          <xdr:nvSpPr>
            <xdr:cNvPr id="15362" name="SpinButtonTheta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4FA712C6-BE83-4DE6-B2E9-76495B4928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</xdr:row>
          <xdr:rowOff>30480</xdr:rowOff>
        </xdr:from>
        <xdr:to>
          <xdr:col>3</xdr:col>
          <xdr:colOff>548640</xdr:colOff>
          <xdr:row>3</xdr:row>
          <xdr:rowOff>19050</xdr:rowOff>
        </xdr:to>
        <xdr:sp macro="" textlink="">
          <xdr:nvSpPr>
            <xdr:cNvPr id="15363" name="SpinButtonRadius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E320D391-BC46-4412-8FE3-AD0296992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</xdr:row>
          <xdr:rowOff>15240</xdr:rowOff>
        </xdr:from>
        <xdr:to>
          <xdr:col>3</xdr:col>
          <xdr:colOff>548640</xdr:colOff>
          <xdr:row>5</xdr:row>
          <xdr:rowOff>0</xdr:rowOff>
        </xdr:to>
        <xdr:sp macro="" textlink="">
          <xdr:nvSpPr>
            <xdr:cNvPr id="15364" name="SpinButtonRadius2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5A9A6A3A-2D12-4F4D-8289-567600BFE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/personal/MPT.Net/MPT/SE/PMM%20Concrete%20Rect%20(Equivalent%20Eccentricity%20Metho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tic"/>
      <sheetName val="Bar Definition"/>
      <sheetName val="Section Definition"/>
      <sheetName val="PM Calc"/>
      <sheetName val="PM Diagram Data"/>
      <sheetName val="PM Chart"/>
      <sheetName val="PM Chart Codes"/>
      <sheetName val="PM Chart Tied"/>
      <sheetName val="PM Chart Spiral"/>
      <sheetName val="Shapes Coords"/>
      <sheetName val="Shape Calcs (Hollow)"/>
      <sheetName val="Shape Slice Calcs"/>
      <sheetName val="Curved Areas Calcs"/>
    </sheetNames>
    <sheetDataSet>
      <sheetData sheetId="0"/>
      <sheetData sheetId="1"/>
      <sheetData sheetId="2"/>
      <sheetData sheetId="3"/>
      <sheetData sheetId="4"/>
      <sheetData sheetId="9"/>
      <sheetData sheetId="10">
        <row r="3">
          <cell r="N3" t="str">
            <v>Square</v>
          </cell>
          <cell r="O3" t="str">
            <v>Triangle</v>
          </cell>
          <cell r="P3" t="str">
            <v>Triangle</v>
          </cell>
          <cell r="Q3" t="str">
            <v>Triangle</v>
          </cell>
        </row>
        <row r="4">
          <cell r="N4" t="str">
            <v>Square Offset X-Y</v>
          </cell>
          <cell r="O4" t="str">
            <v>Hexagon</v>
          </cell>
          <cell r="P4" t="str">
            <v>Hexagon</v>
          </cell>
          <cell r="Q4" t="str">
            <v>Hexagon</v>
          </cell>
        </row>
        <row r="5">
          <cell r="N5" t="str">
            <v>Rectangle Offset X-Y</v>
          </cell>
          <cell r="O5" t="str">
            <v>I-Beam</v>
          </cell>
          <cell r="P5" t="str">
            <v>I-Beam</v>
          </cell>
          <cell r="Q5" t="str">
            <v>I-Beam</v>
          </cell>
        </row>
        <row r="6">
          <cell r="N6" t="str">
            <v>Trapezoid</v>
          </cell>
          <cell r="O6" t="str">
            <v>Tee</v>
          </cell>
          <cell r="P6" t="str">
            <v>Tee</v>
          </cell>
          <cell r="Q6" t="str">
            <v>Tee</v>
          </cell>
        </row>
        <row r="7">
          <cell r="N7" t="str">
            <v>Parallelogram</v>
          </cell>
          <cell r="O7" t="str">
            <v>Angle</v>
          </cell>
          <cell r="P7" t="str">
            <v>Angle</v>
          </cell>
          <cell r="Q7" t="str">
            <v>Angle</v>
          </cell>
        </row>
        <row r="8">
          <cell r="N8" t="str">
            <v>Quadrilateral</v>
          </cell>
          <cell r="O8" t="str">
            <v>Channel</v>
          </cell>
          <cell r="P8" t="str">
            <v>Channel</v>
          </cell>
          <cell r="Q8" t="str">
            <v>Channel</v>
          </cell>
        </row>
        <row r="9">
          <cell r="N9" t="str">
            <v>Triangle</v>
          </cell>
          <cell r="O9" t="str">
            <v>Circle (Coarse)</v>
          </cell>
          <cell r="P9" t="str">
            <v>Circle (Coarse)</v>
          </cell>
          <cell r="Q9" t="str">
            <v>SemiCircle</v>
          </cell>
        </row>
        <row r="10">
          <cell r="N10" t="str">
            <v>Hexagon</v>
          </cell>
          <cell r="O10" t="str">
            <v>Circle (Fine)</v>
          </cell>
          <cell r="P10" t="str">
            <v>Circle (Fine)</v>
          </cell>
          <cell r="Q10" t="str">
            <v>Quarter Circle</v>
          </cell>
        </row>
        <row r="11">
          <cell r="N11" t="str">
            <v>I-Beam</v>
          </cell>
          <cell r="O11" t="str">
            <v>SemiCircle</v>
          </cell>
          <cell r="P11" t="str">
            <v>SemiCircle</v>
          </cell>
          <cell r="Q11" t="str">
            <v>Circle Sector</v>
          </cell>
        </row>
        <row r="12">
          <cell r="N12" t="str">
            <v>Tee</v>
          </cell>
          <cell r="O12" t="str">
            <v>Quarter Circle</v>
          </cell>
          <cell r="P12" t="str">
            <v>Quarter Circle</v>
          </cell>
        </row>
        <row r="13">
          <cell r="N13" t="str">
            <v>Angle</v>
          </cell>
          <cell r="O13" t="str">
            <v>Circle Sector</v>
          </cell>
          <cell r="P13" t="str">
            <v>Circle Sector</v>
          </cell>
        </row>
        <row r="14">
          <cell r="N14" t="str">
            <v>Channel</v>
          </cell>
        </row>
        <row r="15">
          <cell r="J15" t="str">
            <v>Circle Sector</v>
          </cell>
          <cell r="N15" t="str">
            <v>Circle (Coarse)</v>
          </cell>
        </row>
        <row r="16">
          <cell r="N16" t="str">
            <v>Circle (Fine)</v>
          </cell>
        </row>
        <row r="17">
          <cell r="J17" t="str">
            <v>Graphed - Original</v>
          </cell>
          <cell r="N17" t="str">
            <v>SemiCircle</v>
          </cell>
        </row>
        <row r="18">
          <cell r="N18" t="str">
            <v>Quarter Circle</v>
          </cell>
        </row>
        <row r="19">
          <cell r="N19" t="str">
            <v>Circle Sector</v>
          </cell>
        </row>
        <row r="20">
          <cell r="N20" t="str">
            <v>Pipe</v>
          </cell>
        </row>
        <row r="21">
          <cell r="N21" t="str">
            <v>Tube</v>
          </cell>
        </row>
      </sheetData>
      <sheetData sheetId="11"/>
      <sheetData sheetId="12">
        <row r="9">
          <cell r="C9">
            <v>-0.49678773366165141</v>
          </cell>
          <cell r="D9">
            <v>-5.6783097791229498</v>
          </cell>
          <cell r="H9">
            <v>8.8686291501015244</v>
          </cell>
          <cell r="I9">
            <v>-1.131370849898476</v>
          </cell>
        </row>
        <row r="10">
          <cell r="C10">
            <v>0</v>
          </cell>
          <cell r="D10">
            <v>0</v>
          </cell>
          <cell r="H10">
            <v>10</v>
          </cell>
          <cell r="I10">
            <v>0</v>
          </cell>
        </row>
        <row r="11">
          <cell r="C11">
            <v>0.49678773366165141</v>
          </cell>
          <cell r="D11">
            <v>5.6783097791229498</v>
          </cell>
          <cell r="H11">
            <v>11.131370849898476</v>
          </cell>
          <cell r="I11">
            <v>1.131370849898476</v>
          </cell>
        </row>
        <row r="16">
          <cell r="B16">
            <v>0</v>
          </cell>
          <cell r="C16">
            <v>0</v>
          </cell>
          <cell r="H16">
            <v>0</v>
          </cell>
          <cell r="I16">
            <v>0</v>
          </cell>
        </row>
        <row r="17">
          <cell r="B17">
            <v>1.7251032590433691E-2</v>
          </cell>
          <cell r="C17">
            <v>0.16662332529313226</v>
          </cell>
          <cell r="H17">
            <v>0.49678773366165141</v>
          </cell>
          <cell r="I17">
            <v>5.6783097791229498</v>
          </cell>
        </row>
        <row r="18">
          <cell r="B18">
            <v>3.9136404245038392E-2</v>
          </cell>
          <cell r="C18">
            <v>0.32587643059270027</v>
          </cell>
          <cell r="H18">
            <v>8.8686291501015244</v>
          </cell>
          <cell r="I18">
            <v>-1.131370849898476</v>
          </cell>
        </row>
        <row r="19">
          <cell r="B19">
            <v>6.556542181831819E-2</v>
          </cell>
          <cell r="C19">
            <v>0.47788189015002641</v>
          </cell>
          <cell r="H19">
            <v>10</v>
          </cell>
          <cell r="I19">
            <v>0</v>
          </cell>
        </row>
        <row r="20">
          <cell r="B20">
            <v>9.6447392164777185E-2</v>
          </cell>
          <cell r="C20">
            <v>0.62276227821643315</v>
          </cell>
        </row>
        <row r="21">
          <cell r="B21">
            <v>0.13169162213891944</v>
          </cell>
          <cell r="C21">
            <v>0.76064016904324272</v>
          </cell>
        </row>
        <row r="22">
          <cell r="B22">
            <v>0.17120741859524902</v>
          </cell>
          <cell r="C22">
            <v>0.89163813688177773</v>
          </cell>
        </row>
        <row r="23">
          <cell r="B23">
            <v>0.21490408838827002</v>
          </cell>
          <cell r="C23">
            <v>1.0158787559833602</v>
          </cell>
        </row>
        <row r="24">
          <cell r="B24">
            <v>0.26269093837248658</v>
          </cell>
          <cell r="C24">
            <v>1.1334846005993131</v>
          </cell>
        </row>
        <row r="25">
          <cell r="B25">
            <v>0.31447727540240267</v>
          </cell>
          <cell r="C25">
            <v>1.2445782449809581</v>
          </cell>
        </row>
        <row r="26">
          <cell r="B26">
            <v>0.37017240633252241</v>
          </cell>
          <cell r="C26">
            <v>1.349282263379618</v>
          </cell>
        </row>
        <row r="27">
          <cell r="B27">
            <v>0.42968563801734988</v>
          </cell>
          <cell r="C27">
            <v>1.4477192300466153</v>
          </cell>
        </row>
        <row r="28">
          <cell r="B28">
            <v>0.49292627731138922</v>
          </cell>
          <cell r="C28">
            <v>1.5400117192332718</v>
          </cell>
        </row>
        <row r="29">
          <cell r="B29">
            <v>0.55980363106914455</v>
          </cell>
          <cell r="C29">
            <v>1.6262823051909108</v>
          </cell>
        </row>
        <row r="30">
          <cell r="B30">
            <v>0.63022700614511995</v>
          </cell>
          <cell r="C30">
            <v>1.7066535621708538</v>
          </cell>
        </row>
        <row r="31">
          <cell r="B31">
            <v>0.70410570939381922</v>
          </cell>
          <cell r="C31">
            <v>1.7812480644244237</v>
          </cell>
        </row>
        <row r="32">
          <cell r="B32">
            <v>0.78134904766974678</v>
          </cell>
          <cell r="C32">
            <v>1.8501883862029431</v>
          </cell>
        </row>
        <row r="33">
          <cell r="B33">
            <v>0.86186632782740691</v>
          </cell>
          <cell r="C33">
            <v>1.913597101757734</v>
          </cell>
        </row>
        <row r="34">
          <cell r="B34">
            <v>0.94556685672130292</v>
          </cell>
          <cell r="C34">
            <v>1.9715967853401188</v>
          </cell>
        </row>
        <row r="35">
          <cell r="B35">
            <v>1.0323599412059397</v>
          </cell>
          <cell r="C35">
            <v>2.0243100112014201</v>
          </cell>
        </row>
        <row r="36">
          <cell r="B36">
            <v>1.1221548881358208</v>
          </cell>
          <cell r="C36">
            <v>2.0718593535929593</v>
          </cell>
        </row>
        <row r="37">
          <cell r="B37">
            <v>1.2148610043654506</v>
          </cell>
          <cell r="C37">
            <v>2.1143673867660597</v>
          </cell>
        </row>
        <row r="38">
          <cell r="B38">
            <v>1.310387596749333</v>
          </cell>
          <cell r="C38">
            <v>2.1519566849720442</v>
          </cell>
        </row>
        <row r="39">
          <cell r="B39">
            <v>1.4086439721419721</v>
          </cell>
          <cell r="C39">
            <v>2.1847498224622344</v>
          </cell>
        </row>
        <row r="40">
          <cell r="B40">
            <v>1.5095394373978719</v>
          </cell>
          <cell r="C40">
            <v>2.212869373487953</v>
          </cell>
        </row>
        <row r="41">
          <cell r="B41">
            <v>1.6129832993715367</v>
          </cell>
          <cell r="C41">
            <v>2.2364379123005218</v>
          </cell>
        </row>
        <row r="42">
          <cell r="B42">
            <v>1.7188848649174706</v>
          </cell>
          <cell r="C42">
            <v>2.2555780131512639</v>
          </cell>
        </row>
        <row r="43">
          <cell r="B43">
            <v>1.8271534408901773</v>
          </cell>
          <cell r="C43">
            <v>2.2704122502915012</v>
          </cell>
        </row>
        <row r="44">
          <cell r="B44">
            <v>1.9376983341441614</v>
          </cell>
          <cell r="C44">
            <v>2.2810631979725566</v>
          </cell>
        </row>
        <row r="45">
          <cell r="B45">
            <v>2.0504288515339271</v>
          </cell>
          <cell r="C45">
            <v>2.2876534304457521</v>
          </cell>
        </row>
        <row r="46">
          <cell r="B46">
            <v>2.1652542999139781</v>
          </cell>
          <cell r="C46">
            <v>2.2903055219624098</v>
          </cell>
        </row>
        <row r="47">
          <cell r="B47">
            <v>2.2820839861388178</v>
          </cell>
          <cell r="C47">
            <v>2.2891420467738519</v>
          </cell>
        </row>
        <row r="48">
          <cell r="B48">
            <v>2.4008272170629512</v>
          </cell>
          <cell r="C48">
            <v>2.2842855791314021</v>
          </cell>
        </row>
        <row r="49">
          <cell r="B49">
            <v>2.5213932995408825</v>
          </cell>
          <cell r="C49">
            <v>2.275858693286382</v>
          </cell>
        </row>
        <row r="50">
          <cell r="B50">
            <v>2.6436915404271151</v>
          </cell>
          <cell r="C50">
            <v>2.263983963490114</v>
          </cell>
        </row>
        <row r="51">
          <cell r="B51">
            <v>2.767631246576153</v>
          </cell>
          <cell r="C51">
            <v>2.2487839639939207</v>
          </cell>
        </row>
        <row r="52">
          <cell r="B52">
            <v>2.8931217248425019</v>
          </cell>
          <cell r="C52">
            <v>2.2303812690491234</v>
          </cell>
        </row>
        <row r="53">
          <cell r="B53">
            <v>3.0200722820806645</v>
          </cell>
          <cell r="C53">
            <v>2.2088984529070466</v>
          </cell>
        </row>
        <row r="54">
          <cell r="B54">
            <v>3.1483922251451446</v>
          </cell>
          <cell r="C54">
            <v>2.1844580898190107</v>
          </cell>
        </row>
        <row r="55">
          <cell r="B55">
            <v>3.2779908608904469</v>
          </cell>
          <cell r="C55">
            <v>2.1571827540363389</v>
          </cell>
        </row>
        <row r="56">
          <cell r="B56">
            <v>3.4087774961710746</v>
          </cell>
          <cell r="C56">
            <v>2.1271950198103529</v>
          </cell>
        </row>
        <row r="57">
          <cell r="B57">
            <v>3.5406614378415338</v>
          </cell>
          <cell r="C57">
            <v>2.0946174613923767</v>
          </cell>
        </row>
        <row r="58">
          <cell r="B58">
            <v>3.6735519927563263</v>
          </cell>
          <cell r="C58">
            <v>2.0595726530337308</v>
          </cell>
        </row>
        <row r="59">
          <cell r="B59">
            <v>3.8073584677699577</v>
          </cell>
          <cell r="C59">
            <v>2.0221831689857392</v>
          </cell>
        </row>
        <row r="60">
          <cell r="B60">
            <v>3.9419901697369317</v>
          </cell>
          <cell r="C60">
            <v>1.9825715834997235</v>
          </cell>
        </row>
        <row r="61">
          <cell r="B61">
            <v>4.0773564055117522</v>
          </cell>
          <cell r="C61">
            <v>1.9408604708270061</v>
          </cell>
        </row>
        <row r="62">
          <cell r="B62">
            <v>4.2133664819489232</v>
          </cell>
          <cell r="C62">
            <v>1.8971724052189092</v>
          </cell>
        </row>
        <row r="63">
          <cell r="B63">
            <v>4.349929705902948</v>
          </cell>
          <cell r="C63">
            <v>1.8516299609267552</v>
          </cell>
        </row>
        <row r="64">
          <cell r="B64">
            <v>4.4869553842283327</v>
          </cell>
          <cell r="C64">
            <v>1.8043557122018674</v>
          </cell>
        </row>
        <row r="65">
          <cell r="B65">
            <v>4.6243528237795797</v>
          </cell>
          <cell r="C65">
            <v>1.7554722332955668</v>
          </cell>
        </row>
        <row r="66">
          <cell r="B66">
            <v>4.7620313314111939</v>
          </cell>
          <cell r="C66">
            <v>1.7051020984591767</v>
          </cell>
        </row>
        <row r="67">
          <cell r="B67">
            <v>4.8999002139776788</v>
          </cell>
          <cell r="C67">
            <v>1.6533678819440198</v>
          </cell>
        </row>
        <row r="68">
          <cell r="B68">
            <v>5.0378687783335394</v>
          </cell>
          <cell r="C68">
            <v>1.6003921580014169</v>
          </cell>
        </row>
        <row r="69">
          <cell r="B69">
            <v>5.175846331333279</v>
          </cell>
          <cell r="C69">
            <v>1.5462975008826918</v>
          </cell>
        </row>
        <row r="70">
          <cell r="B70">
            <v>5.3137421798314026</v>
          </cell>
          <cell r="C70">
            <v>1.4912064848391671</v>
          </cell>
        </row>
        <row r="71">
          <cell r="B71">
            <v>5.4514656306824119</v>
          </cell>
          <cell r="C71">
            <v>1.4352416841221642</v>
          </cell>
        </row>
        <row r="72">
          <cell r="B72">
            <v>5.5889259907408144</v>
          </cell>
          <cell r="C72">
            <v>1.378525672983006</v>
          </cell>
        </row>
        <row r="73">
          <cell r="B73">
            <v>5.726032566861111</v>
          </cell>
          <cell r="C73">
            <v>1.3211810256730145</v>
          </cell>
        </row>
        <row r="74">
          <cell r="B74">
            <v>5.8626946658978092</v>
          </cell>
          <cell r="C74">
            <v>1.2633303164435126</v>
          </cell>
        </row>
        <row r="75">
          <cell r="B75">
            <v>5.9988215947054098</v>
          </cell>
          <cell r="C75">
            <v>1.2050961195458223</v>
          </cell>
        </row>
        <row r="76">
          <cell r="B76">
            <v>6.1343226601384178</v>
          </cell>
          <cell r="C76">
            <v>1.1466010092312664</v>
          </cell>
        </row>
        <row r="77">
          <cell r="B77">
            <v>6.2691071690513382</v>
          </cell>
          <cell r="C77">
            <v>1.0879675597511667</v>
          </cell>
        </row>
        <row r="78">
          <cell r="B78">
            <v>6.4030844282986745</v>
          </cell>
          <cell r="C78">
            <v>1.0293183453568457</v>
          </cell>
        </row>
        <row r="79">
          <cell r="B79">
            <v>6.5361637447349299</v>
          </cell>
          <cell r="C79">
            <v>0.97077594029962655</v>
          </cell>
        </row>
        <row r="80">
          <cell r="B80">
            <v>6.6682544252146121</v>
          </cell>
          <cell r="C80">
            <v>0.91246291883083086</v>
          </cell>
        </row>
        <row r="81">
          <cell r="B81">
            <v>6.79926577659222</v>
          </cell>
          <cell r="C81">
            <v>0.85450185520178135</v>
          </cell>
        </row>
        <row r="82">
          <cell r="B82">
            <v>6.9291071057222613</v>
          </cell>
          <cell r="C82">
            <v>0.79701532366380001</v>
          </cell>
        </row>
        <row r="83">
          <cell r="B83">
            <v>7.0576877194592393</v>
          </cell>
          <cell r="C83">
            <v>0.74012589846820975</v>
          </cell>
        </row>
        <row r="84">
          <cell r="B84">
            <v>7.1849169246576565</v>
          </cell>
          <cell r="C84">
            <v>0.68395615386633257</v>
          </cell>
        </row>
        <row r="85">
          <cell r="B85">
            <v>7.3107040281720179</v>
          </cell>
          <cell r="C85">
            <v>0.62862866410949114</v>
          </cell>
        </row>
        <row r="86">
          <cell r="B86">
            <v>7.4349583368568286</v>
          </cell>
          <cell r="C86">
            <v>0.57426600344900747</v>
          </cell>
        </row>
        <row r="87">
          <cell r="B87">
            <v>7.5575891575665928</v>
          </cell>
          <cell r="C87">
            <v>0.52099074613620422</v>
          </cell>
        </row>
        <row r="88">
          <cell r="B88">
            <v>7.6785057971558146</v>
          </cell>
          <cell r="C88">
            <v>0.4689254664224039</v>
          </cell>
        </row>
        <row r="89">
          <cell r="B89">
            <v>7.7976175624789938</v>
          </cell>
          <cell r="C89">
            <v>0.41819273855892874</v>
          </cell>
        </row>
        <row r="90">
          <cell r="B90">
            <v>7.9148337603906391</v>
          </cell>
          <cell r="C90">
            <v>0.36891513679710097</v>
          </cell>
        </row>
        <row r="91">
          <cell r="B91">
            <v>8.0300636977452555</v>
          </cell>
          <cell r="C91">
            <v>0.32121523538824315</v>
          </cell>
        </row>
        <row r="92">
          <cell r="B92">
            <v>8.1432166813973428</v>
          </cell>
          <cell r="C92">
            <v>0.27521560858367777</v>
          </cell>
        </row>
        <row r="93">
          <cell r="B93">
            <v>8.2542020182014095</v>
          </cell>
          <cell r="C93">
            <v>0.23103883063472691</v>
          </cell>
        </row>
        <row r="94">
          <cell r="B94">
            <v>8.3629290150119555</v>
          </cell>
          <cell r="C94">
            <v>0.18880747579271334</v>
          </cell>
        </row>
        <row r="95">
          <cell r="B95">
            <v>8.4693069786834876</v>
          </cell>
          <cell r="C95">
            <v>0.14864411830895913</v>
          </cell>
        </row>
        <row r="96">
          <cell r="B96">
            <v>8.5732452160705073</v>
          </cell>
          <cell r="C96">
            <v>0.11067133243478672</v>
          </cell>
        </row>
        <row r="97">
          <cell r="B97">
            <v>8.6746530340275232</v>
          </cell>
          <cell r="C97">
            <v>7.5011692421518561E-2</v>
          </cell>
        </row>
        <row r="98">
          <cell r="B98">
            <v>8.7734397394090351</v>
          </cell>
          <cell r="C98">
            <v>4.1787772520476996E-2</v>
          </cell>
        </row>
        <row r="99">
          <cell r="B99">
            <v>8.8695146390695498</v>
          </cell>
          <cell r="C99">
            <v>1.1122146982984471E-2</v>
          </cell>
        </row>
        <row r="100">
          <cell r="B100">
            <v>8.9627870398635707</v>
          </cell>
          <cell r="C100">
            <v>-1.686260993963673E-2</v>
          </cell>
        </row>
        <row r="101">
          <cell r="B101">
            <v>9.0531662486455993</v>
          </cell>
          <cell r="C101">
            <v>-4.2043923996064048E-2</v>
          </cell>
        </row>
        <row r="102">
          <cell r="B102">
            <v>9.1405615722701441</v>
          </cell>
          <cell r="C102">
            <v>-6.4299220934975199E-2</v>
          </cell>
        </row>
        <row r="103">
          <cell r="B103">
            <v>9.224882317591705</v>
          </cell>
          <cell r="C103">
            <v>-8.3505926505047789E-2</v>
          </cell>
        </row>
        <row r="104">
          <cell r="B104">
            <v>9.3060377914647887</v>
          </cell>
          <cell r="C104">
            <v>-9.9541466454959426E-2</v>
          </cell>
        </row>
        <row r="105">
          <cell r="B105">
            <v>9.3839373007438986</v>
          </cell>
          <cell r="C105">
            <v>-0.11228326653338783</v>
          </cell>
        </row>
        <row r="106">
          <cell r="B106">
            <v>9.4584901522835398</v>
          </cell>
          <cell r="C106">
            <v>-0.12160875248901049</v>
          </cell>
        </row>
        <row r="107">
          <cell r="B107">
            <v>9.5296056529382138</v>
          </cell>
          <cell r="C107">
            <v>-0.12739535007050501</v>
          </cell>
        </row>
        <row r="108">
          <cell r="B108">
            <v>9.5971931095624257</v>
          </cell>
          <cell r="C108">
            <v>-0.12952048502654903</v>
          </cell>
        </row>
        <row r="109">
          <cell r="B109">
            <v>9.6611618290106804</v>
          </cell>
          <cell r="C109">
            <v>-0.12786158310582021</v>
          </cell>
        </row>
        <row r="110">
          <cell r="B110">
            <v>9.7214211181374832</v>
          </cell>
          <cell r="C110">
            <v>-0.12229607005699615</v>
          </cell>
        </row>
        <row r="111">
          <cell r="B111">
            <v>9.7778802837973355</v>
          </cell>
          <cell r="C111">
            <v>-0.11270137162875443</v>
          </cell>
        </row>
        <row r="112">
          <cell r="B112">
            <v>9.8304486328447442</v>
          </cell>
          <cell r="C112">
            <v>-9.8954913569772693E-2</v>
          </cell>
        </row>
        <row r="113">
          <cell r="B113">
            <v>9.8790354721342108</v>
          </cell>
          <cell r="C113">
            <v>-8.0934121628728553E-2</v>
          </cell>
        </row>
        <row r="114">
          <cell r="B114">
            <v>9.9235501085202387</v>
          </cell>
          <cell r="C114">
            <v>-5.8516421554299591E-2</v>
          </cell>
        </row>
        <row r="115">
          <cell r="B115">
            <v>9.9639018488573345</v>
          </cell>
          <cell r="C115">
            <v>-3.1579239095163456E-2</v>
          </cell>
        </row>
        <row r="116">
          <cell r="B116">
            <v>10.000000000000002</v>
          </cell>
          <cell r="C116">
            <v>2.2609331405046466E-15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7D384-0C7C-40C4-9B8C-466473A6AF3F}">
  <sheetPr codeName="Sheet1"/>
  <dimension ref="A1:F12"/>
  <sheetViews>
    <sheetView workbookViewId="0">
      <selection activeCell="C36" sqref="C36"/>
    </sheetView>
  </sheetViews>
  <sheetFormatPr defaultRowHeight="14.4" x14ac:dyDescent="0.3"/>
  <cols>
    <col min="2" max="2" width="7.21875" bestFit="1" customWidth="1"/>
    <col min="3" max="3" width="29" bestFit="1" customWidth="1"/>
  </cols>
  <sheetData>
    <row r="1" spans="1:6" s="2" customFormat="1" x14ac:dyDescent="0.3">
      <c r="A1" s="2" t="s">
        <v>0</v>
      </c>
    </row>
    <row r="2" spans="1:6" s="3" customFormat="1" x14ac:dyDescent="0.3">
      <c r="A2" s="4" t="s">
        <v>1</v>
      </c>
      <c r="B2" s="4" t="s">
        <v>3</v>
      </c>
      <c r="C2" s="4" t="s">
        <v>4</v>
      </c>
      <c r="D2" s="4" t="s">
        <v>2</v>
      </c>
      <c r="E2" s="4" t="s">
        <v>3</v>
      </c>
      <c r="F2" s="4" t="s">
        <v>4</v>
      </c>
    </row>
    <row r="3" spans="1:6" x14ac:dyDescent="0.3">
      <c r="A3">
        <v>-9</v>
      </c>
      <c r="B3" s="5">
        <f t="shared" ref="B3:B12" si="0">A3^(1/3)</f>
        <v>-2.0800838230519041</v>
      </c>
      <c r="C3" t="str">
        <f>"[TestCase("&amp;A3&amp;", "&amp;ROUND(B3,4)&amp;")]"</f>
        <v>[TestCase(-9, -2.0801)]</v>
      </c>
      <c r="D3">
        <v>-9.9</v>
      </c>
      <c r="E3" s="5">
        <f>D3^(1/3)</f>
        <v>-2.1472291690189413</v>
      </c>
      <c r="F3" t="str">
        <f>"[TestCase("&amp;D3&amp;", "&amp;ROUND(E3,4)&amp;")]"</f>
        <v>[TestCase(-9.9, -2.1472)]</v>
      </c>
    </row>
    <row r="4" spans="1:6" x14ac:dyDescent="0.3">
      <c r="A4">
        <v>-3</v>
      </c>
      <c r="B4" s="5">
        <f t="shared" si="0"/>
        <v>-1.4422495703074083</v>
      </c>
      <c r="C4" t="str">
        <f t="shared" ref="C4:C12" si="1">"[TestCase("&amp;A4&amp;", "&amp;ROUND(B4,4)&amp;")]"</f>
        <v>[TestCase(-3, -1.4422)]</v>
      </c>
      <c r="D4">
        <v>0</v>
      </c>
      <c r="E4" s="5">
        <f>D4^(1/3)</f>
        <v>0</v>
      </c>
      <c r="F4" t="str">
        <f>"[TestCase("&amp;D4&amp;", "&amp;ROUND(E4,4)&amp;")]"</f>
        <v>[TestCase(0, 0)]</v>
      </c>
    </row>
    <row r="5" spans="1:6" x14ac:dyDescent="0.3">
      <c r="A5">
        <v>-1</v>
      </c>
      <c r="B5" s="5">
        <f t="shared" si="0"/>
        <v>-1</v>
      </c>
      <c r="C5" t="str">
        <f t="shared" si="1"/>
        <v>[TestCase(-1, -1)]</v>
      </c>
      <c r="D5">
        <v>9.9</v>
      </c>
      <c r="E5" s="5">
        <f>D5^(1/3)</f>
        <v>2.1472291690189413</v>
      </c>
      <c r="F5" t="str">
        <f>"[TestCase("&amp;D5&amp;", "&amp;ROUND(E5,4)&amp;")]"</f>
        <v>[TestCase(9.9, 2.1472)]</v>
      </c>
    </row>
    <row r="6" spans="1:6" x14ac:dyDescent="0.3">
      <c r="A6">
        <v>0</v>
      </c>
      <c r="B6" s="5">
        <f t="shared" si="0"/>
        <v>0</v>
      </c>
      <c r="C6" t="str">
        <f t="shared" si="1"/>
        <v>[TestCase(0, 0)]</v>
      </c>
    </row>
    <row r="7" spans="1:6" x14ac:dyDescent="0.3">
      <c r="A7">
        <v>1</v>
      </c>
      <c r="B7" s="5">
        <f t="shared" si="0"/>
        <v>1</v>
      </c>
      <c r="C7" t="str">
        <f t="shared" si="1"/>
        <v>[TestCase(1, 1)]</v>
      </c>
    </row>
    <row r="8" spans="1:6" x14ac:dyDescent="0.3">
      <c r="A8">
        <v>3</v>
      </c>
      <c r="B8" s="5">
        <f t="shared" si="0"/>
        <v>1.4422495703074083</v>
      </c>
      <c r="C8" t="str">
        <f t="shared" si="1"/>
        <v>[TestCase(3, 1.4422)]</v>
      </c>
    </row>
    <row r="9" spans="1:6" x14ac:dyDescent="0.3">
      <c r="A9">
        <v>8</v>
      </c>
      <c r="B9" s="5">
        <f t="shared" si="0"/>
        <v>1.9999999999999998</v>
      </c>
      <c r="C9" t="str">
        <f t="shared" si="1"/>
        <v>[TestCase(8, 2)]</v>
      </c>
    </row>
    <row r="10" spans="1:6" x14ac:dyDescent="0.3">
      <c r="A10">
        <v>9</v>
      </c>
      <c r="B10" s="5">
        <f t="shared" si="0"/>
        <v>2.0800838230519041</v>
      </c>
      <c r="C10" t="str">
        <f t="shared" si="1"/>
        <v>[TestCase(9, 2.0801)]</v>
      </c>
    </row>
    <row r="11" spans="1:6" x14ac:dyDescent="0.3">
      <c r="A11">
        <v>15</v>
      </c>
      <c r="B11" s="5">
        <f t="shared" si="0"/>
        <v>2.4662120743304703</v>
      </c>
      <c r="C11" t="str">
        <f t="shared" si="1"/>
        <v>[TestCase(15, 2.4662)]</v>
      </c>
    </row>
    <row r="12" spans="1:6" x14ac:dyDescent="0.3">
      <c r="A12">
        <v>27</v>
      </c>
      <c r="B12" s="5">
        <f t="shared" si="0"/>
        <v>2.9999999999999996</v>
      </c>
      <c r="C12" t="str">
        <f t="shared" si="1"/>
        <v>[TestCase(27, 3)]</v>
      </c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26"/>
  <sheetViews>
    <sheetView topLeftCell="A7" workbookViewId="0">
      <selection activeCell="H31" sqref="H31"/>
    </sheetView>
  </sheetViews>
  <sheetFormatPr defaultRowHeight="14.4" x14ac:dyDescent="0.3"/>
  <cols>
    <col min="3" max="3" width="10.5546875" bestFit="1" customWidth="1"/>
    <col min="4" max="4" width="12.21875" bestFit="1" customWidth="1"/>
    <col min="6" max="6" width="9.5546875" bestFit="1" customWidth="1"/>
    <col min="8" max="8" width="13" customWidth="1"/>
    <col min="9" max="9" width="14.33203125" bestFit="1" customWidth="1"/>
    <col min="10" max="10" width="12" bestFit="1" customWidth="1"/>
    <col min="12" max="12" width="10.6640625" bestFit="1" customWidth="1"/>
    <col min="13" max="13" width="12.6640625" bestFit="1" customWidth="1"/>
  </cols>
  <sheetData>
    <row r="1" spans="1:14" s="2" customFormat="1" x14ac:dyDescent="0.3">
      <c r="A1" s="2" t="s">
        <v>152</v>
      </c>
    </row>
    <row r="2" spans="1:14" x14ac:dyDescent="0.3">
      <c r="A2" s="6" t="s">
        <v>153</v>
      </c>
      <c r="B2" s="6" t="s">
        <v>154</v>
      </c>
      <c r="C2" s="6" t="s">
        <v>155</v>
      </c>
      <c r="D2" s="6" t="s">
        <v>156</v>
      </c>
      <c r="E2" s="6" t="s">
        <v>157</v>
      </c>
    </row>
    <row r="3" spans="1:14" x14ac:dyDescent="0.3">
      <c r="A3">
        <v>0</v>
      </c>
      <c r="B3">
        <v>0</v>
      </c>
      <c r="C3">
        <v>0</v>
      </c>
      <c r="D3" t="e">
        <f t="shared" ref="D3:D8" si="0">-B3/(2*A3)+(SQRT(B3^2-4*A3*C3)/(2*A3))</f>
        <v>#DIV/0!</v>
      </c>
      <c r="E3" t="e">
        <f t="shared" ref="E3:E8" si="1">-B3/(2*A3)-(SQRT(B3^2-4*A3*C3)/(2*A3))</f>
        <v>#DIV/0!</v>
      </c>
    </row>
    <row r="4" spans="1:14" x14ac:dyDescent="0.3">
      <c r="A4">
        <v>0</v>
      </c>
      <c r="B4">
        <v>6</v>
      </c>
      <c r="C4">
        <v>1</v>
      </c>
      <c r="D4" t="e">
        <f t="shared" si="0"/>
        <v>#DIV/0!</v>
      </c>
      <c r="E4" t="e">
        <f t="shared" si="1"/>
        <v>#DIV/0!</v>
      </c>
      <c r="F4" s="1" t="s">
        <v>158</v>
      </c>
    </row>
    <row r="5" spans="1:14" x14ac:dyDescent="0.3">
      <c r="A5">
        <v>1</v>
      </c>
      <c r="B5">
        <v>1</v>
      </c>
      <c r="C5">
        <v>1</v>
      </c>
      <c r="D5" t="e">
        <f t="shared" si="0"/>
        <v>#NUM!</v>
      </c>
      <c r="E5" t="e">
        <f t="shared" si="1"/>
        <v>#NUM!</v>
      </c>
      <c r="F5" t="s">
        <v>159</v>
      </c>
    </row>
    <row r="6" spans="1:14" x14ac:dyDescent="0.3">
      <c r="A6">
        <v>1</v>
      </c>
      <c r="B6">
        <v>6</v>
      </c>
      <c r="C6">
        <v>3</v>
      </c>
      <c r="D6">
        <f t="shared" si="0"/>
        <v>-0.55051025721682212</v>
      </c>
      <c r="E6">
        <f t="shared" si="1"/>
        <v>-5.4494897427831779</v>
      </c>
      <c r="H6" t="str">
        <f>"[TestCase("&amp;A6&amp;", "&amp;B6&amp;", "&amp;C6&amp;", "&amp;ROUND(D6,6)&amp;", "&amp;ROUND(E6,6)&amp;")]"</f>
        <v>[TestCase(1, 6, 3, -0.55051, -5.44949)]</v>
      </c>
    </row>
    <row r="7" spans="1:14" x14ac:dyDescent="0.3">
      <c r="A7">
        <v>1</v>
      </c>
      <c r="B7">
        <v>-6</v>
      </c>
      <c r="C7">
        <v>3</v>
      </c>
      <c r="D7">
        <f t="shared" si="0"/>
        <v>5.4494897427831779</v>
      </c>
      <c r="E7">
        <f t="shared" si="1"/>
        <v>0.55051025721682212</v>
      </c>
      <c r="H7" t="str">
        <f t="shared" ref="H7:H8" si="2">"[TestCase("&amp;A7&amp;", "&amp;B7&amp;", "&amp;C7&amp;", "&amp;ROUND(D7,6)&amp;", "&amp;ROUND(E7,6)&amp;")]"</f>
        <v>[TestCase(1, -6, 3, 5.44949, 0.55051)]</v>
      </c>
    </row>
    <row r="8" spans="1:14" x14ac:dyDescent="0.3">
      <c r="A8">
        <v>1</v>
      </c>
      <c r="B8">
        <v>0</v>
      </c>
      <c r="C8">
        <v>0</v>
      </c>
      <c r="D8">
        <f t="shared" si="0"/>
        <v>0</v>
      </c>
      <c r="E8">
        <f t="shared" si="1"/>
        <v>0</v>
      </c>
      <c r="H8" t="str">
        <f t="shared" si="2"/>
        <v>[TestCase(1, 0, 0, 0, 0)]</v>
      </c>
    </row>
    <row r="10" spans="1:14" s="2" customFormat="1" x14ac:dyDescent="0.3">
      <c r="A10" s="2" t="s">
        <v>160</v>
      </c>
      <c r="D10" s="26"/>
    </row>
    <row r="11" spans="1:14" x14ac:dyDescent="0.3">
      <c r="A11" s="6" t="s">
        <v>153</v>
      </c>
      <c r="B11" s="6" t="s">
        <v>154</v>
      </c>
      <c r="C11" s="6" t="s">
        <v>155</v>
      </c>
      <c r="D11" s="6" t="s">
        <v>161</v>
      </c>
      <c r="E11" s="13" t="s">
        <v>162</v>
      </c>
      <c r="F11" s="14" t="s">
        <v>163</v>
      </c>
      <c r="G11" s="14" t="s">
        <v>166</v>
      </c>
      <c r="H11" s="14" t="s">
        <v>165</v>
      </c>
      <c r="I11" s="18" t="s">
        <v>164</v>
      </c>
      <c r="J11" s="6" t="s">
        <v>3</v>
      </c>
    </row>
    <row r="12" spans="1:14" x14ac:dyDescent="0.3">
      <c r="A12">
        <v>0.72250000000000003</v>
      </c>
      <c r="B12">
        <v>-1.7</v>
      </c>
      <c r="C12" s="27">
        <v>284.77208739999998</v>
      </c>
      <c r="D12" s="27">
        <v>-5274.7208069999997</v>
      </c>
      <c r="E12" s="29">
        <f>C12/A12-B12^2/(3*A12^2)</f>
        <v>392.30277379469425</v>
      </c>
      <c r="F12" s="28">
        <f>-(D12/A12+2*B12^3/(27*A12^3)-B12*C12/(3*A12^2))</f>
        <v>6992.4807169158157</v>
      </c>
      <c r="G12" s="3">
        <f>0.5*(-F12+SQRT(F12^2+(4/27)*E12^3))</f>
        <v>306.3697661905112</v>
      </c>
      <c r="H12" s="28">
        <f>(G12)^(1/3)</f>
        <v>6.7413773112295665</v>
      </c>
      <c r="I12" s="30">
        <f>(20+H12^3)^(1/3)</f>
        <v>6.8849898886162215</v>
      </c>
      <c r="J12" s="34">
        <f>(F12+H12^3)^(1/3)-H12-B14/(3*A14)</f>
        <v>13.440692277453405</v>
      </c>
    </row>
    <row r="13" spans="1:14" x14ac:dyDescent="0.3">
      <c r="A13" s="6" t="s">
        <v>153</v>
      </c>
      <c r="B13" s="6" t="s">
        <v>154</v>
      </c>
      <c r="C13" s="6" t="s">
        <v>155</v>
      </c>
      <c r="D13" s="6" t="s">
        <v>161</v>
      </c>
      <c r="E13" s="6" t="s">
        <v>169</v>
      </c>
      <c r="F13" s="6" t="s">
        <v>170</v>
      </c>
      <c r="G13" s="6" t="s">
        <v>171</v>
      </c>
      <c r="H13" s="6" t="s">
        <v>163</v>
      </c>
      <c r="I13" s="6" t="s">
        <v>162</v>
      </c>
      <c r="J13" s="14" t="s">
        <v>166</v>
      </c>
      <c r="K13" s="14" t="s">
        <v>165</v>
      </c>
      <c r="L13" s="6" t="s">
        <v>3</v>
      </c>
    </row>
    <row r="14" spans="1:14" x14ac:dyDescent="0.3">
      <c r="A14">
        <v>0.72250000000000003</v>
      </c>
      <c r="B14">
        <v>-1.7</v>
      </c>
      <c r="C14" s="27">
        <v>284.77208739999998</v>
      </c>
      <c r="D14" s="27">
        <v>-5274.7208069999997</v>
      </c>
      <c r="E14">
        <f>B14/A14</f>
        <v>-2.3529411764705879</v>
      </c>
      <c r="F14">
        <f>C14/A14</f>
        <v>394.1482178546712</v>
      </c>
      <c r="G14">
        <f>D14/A14</f>
        <v>-7300.651635986158</v>
      </c>
      <c r="H14" s="31">
        <f>(1/27)*(9*F14*E14-27*G14-2*E14^3)</f>
        <v>6992.4807169158157</v>
      </c>
      <c r="I14">
        <f>(1/3)*(3*F14-E14^2)</f>
        <v>392.3027737946943</v>
      </c>
      <c r="J14">
        <f>H14^2+(4/27)*I14^3</f>
        <v>57839375.040314659</v>
      </c>
      <c r="K14">
        <f>(0.5*(-H14+SQRT(J14)))^(1/3)</f>
        <v>6.7413773112295665</v>
      </c>
      <c r="L14" s="33">
        <f>(H14+K14^3)^(1/3)-K14-E14/3</f>
        <v>13.440692277453405</v>
      </c>
      <c r="N14" t="str">
        <f>"[TestCase("&amp;ROUND(A14,6)&amp;", "&amp;ROUND(B14,6)&amp;", "&amp;ROUND(C14,6)&amp;", "&amp;ROUND(D14,6)&amp;", "&amp;ROUND(L14,6)&amp;")]"</f>
        <v>[TestCase(0.7225, -1.7, 284.772087, -5274.720807, 13.440692)]</v>
      </c>
    </row>
    <row r="15" spans="1:14" x14ac:dyDescent="0.3">
      <c r="A15">
        <v>0.63700000000000001</v>
      </c>
      <c r="B15">
        <v>-378.60399999999998</v>
      </c>
      <c r="C15">
        <v>59057.623</v>
      </c>
      <c r="D15">
        <v>-1627072.645</v>
      </c>
      <c r="E15">
        <f>B15/A15</f>
        <v>-594.35478806907372</v>
      </c>
      <c r="F15">
        <f>C15/A15</f>
        <v>92712.124018838309</v>
      </c>
      <c r="G15">
        <f>D15/A15</f>
        <v>-2554274.1679748823</v>
      </c>
      <c r="H15" s="35">
        <f t="shared" ref="H15" si="3">(1/27)*(9*F15*E15-27*G15-2*E15^3)</f>
        <v>-261071.93123680353</v>
      </c>
      <c r="I15">
        <f>(1/3)*(3*F15-E15^2)</f>
        <v>-25040.414014706192</v>
      </c>
      <c r="J15" s="2">
        <f>H15^2+(4/27)*I15^3</f>
        <v>-2257900534205.5996</v>
      </c>
      <c r="K15" t="e">
        <f t="shared" ref="K15:K16" si="4">(0.5*(-H15+SQRT(J15)))^(1/3)</f>
        <v>#NUM!</v>
      </c>
      <c r="L15" t="e">
        <f>(H15+K15^3)^(1/3)-K15-E15/3</f>
        <v>#NUM!</v>
      </c>
      <c r="N15" t="s">
        <v>168</v>
      </c>
    </row>
    <row r="16" spans="1:14" x14ac:dyDescent="0.3">
      <c r="A16">
        <v>0.63700000000000001</v>
      </c>
      <c r="B16">
        <v>378.60399999999998</v>
      </c>
      <c r="C16">
        <v>59057.623</v>
      </c>
      <c r="D16">
        <v>1627072.645</v>
      </c>
      <c r="E16">
        <f>B16/A16</f>
        <v>594.35478806907372</v>
      </c>
      <c r="F16">
        <f>C16/A16</f>
        <v>92712.124018838309</v>
      </c>
      <c r="G16">
        <f>D16/A16</f>
        <v>2554274.1679748823</v>
      </c>
      <c r="H16" s="31">
        <f>(1/27)*(9*F16*E16-27*G16-2*E16^3)</f>
        <v>261071.93123680353</v>
      </c>
      <c r="I16">
        <f>(1/3)*(3*F16-E16^2)</f>
        <v>-25040.414014706192</v>
      </c>
      <c r="J16" s="2">
        <f t="shared" ref="J16" si="5">H16^2+(4/27)*I16^3</f>
        <v>-2257900534205.5996</v>
      </c>
      <c r="K16" t="e">
        <f t="shared" si="4"/>
        <v>#NUM!</v>
      </c>
      <c r="L16" t="e">
        <f>(H16+K16^3)^(1/3)-K16-E16/3</f>
        <v>#NUM!</v>
      </c>
      <c r="N16" t="s">
        <v>168</v>
      </c>
    </row>
    <row r="18" spans="1:16" x14ac:dyDescent="0.3">
      <c r="A18" s="6" t="s">
        <v>153</v>
      </c>
      <c r="B18" s="6" t="s">
        <v>154</v>
      </c>
      <c r="C18" s="6" t="s">
        <v>155</v>
      </c>
      <c r="D18" s="6" t="s">
        <v>161</v>
      </c>
      <c r="E18" s="6" t="s">
        <v>169</v>
      </c>
      <c r="F18" s="6" t="s">
        <v>170</v>
      </c>
      <c r="G18" s="6" t="s">
        <v>171</v>
      </c>
      <c r="H18" s="6" t="s">
        <v>163</v>
      </c>
      <c r="I18" s="6" t="s">
        <v>162</v>
      </c>
      <c r="J18" s="14" t="s">
        <v>166</v>
      </c>
      <c r="K18" s="6" t="s">
        <v>172</v>
      </c>
      <c r="L18" s="6" t="s">
        <v>173</v>
      </c>
      <c r="M18" s="6" t="s">
        <v>174</v>
      </c>
      <c r="N18" s="36" t="s">
        <v>177</v>
      </c>
      <c r="O18" s="36" t="s">
        <v>178</v>
      </c>
      <c r="P18" s="36" t="s">
        <v>125</v>
      </c>
    </row>
    <row r="19" spans="1:16" x14ac:dyDescent="0.3">
      <c r="A19">
        <v>0.63673250621051469</v>
      </c>
      <c r="B19">
        <v>-378.60426269086923</v>
      </c>
      <c r="C19">
        <v>59057.623334244614</v>
      </c>
      <c r="D19">
        <v>-1627072.6448583209</v>
      </c>
      <c r="E19">
        <f>B19/A19</f>
        <v>-594.60489137599666</v>
      </c>
      <c r="F19">
        <f>C19/A19</f>
        <v>92751.073265794839</v>
      </c>
      <c r="G19">
        <f>D19/A19</f>
        <v>-2555347.22821326</v>
      </c>
      <c r="H19" s="35">
        <f t="shared" ref="H19" si="6">(1/27)*(9*F19*E19-27*G19-2*E19^3)</f>
        <v>-255806.08250263662</v>
      </c>
      <c r="I19">
        <f>(1/3)*(3*F19-E19^2)</f>
        <v>-25100.585683625424</v>
      </c>
      <c r="J19" s="2">
        <f>H19^2+(4/27)*I19^3</f>
        <v>-2277431097851.3306</v>
      </c>
      <c r="K19">
        <f>(3*F19-E19^2)/9</f>
        <v>-8366.8618945418075</v>
      </c>
      <c r="L19">
        <f>(9*E19*F19-27*G19-2*E19^3)/54</f>
        <v>-127903.04125131833</v>
      </c>
      <c r="M19">
        <f>K19^3+L19^2</f>
        <v>-569357774462.83252</v>
      </c>
      <c r="N19" t="e">
        <f>(L19+SQRT(M19))^3</f>
        <v>#NUM!</v>
      </c>
      <c r="O19" t="e">
        <f>(L19-SQRT(M19))^3</f>
        <v>#NUM!</v>
      </c>
      <c r="P19" t="e">
        <f>N19+O19-E19/3</f>
        <v>#NUM!</v>
      </c>
    </row>
    <row r="20" spans="1:16" x14ac:dyDescent="0.3">
      <c r="A20">
        <v>0.63673250621051469</v>
      </c>
      <c r="B20">
        <v>378.60426269086901</v>
      </c>
      <c r="C20">
        <v>59057.623334244614</v>
      </c>
      <c r="D20">
        <v>1627072.64485832</v>
      </c>
      <c r="E20">
        <f>B20/A20</f>
        <v>594.60489137599632</v>
      </c>
      <c r="F20">
        <f>C20/A20</f>
        <v>92751.073265794839</v>
      </c>
      <c r="G20">
        <f>D20/A20</f>
        <v>2555347.2282132586</v>
      </c>
      <c r="H20" s="31">
        <f>(1/27)*(9*F20*E20-27*G20-2*E20^3)</f>
        <v>255806.0825026565</v>
      </c>
      <c r="I20">
        <f>(1/3)*(3*F20-E20^2)</f>
        <v>-25100.585683625286</v>
      </c>
      <c r="J20" s="2">
        <f t="shared" ref="J20" si="7">H20^2+(4/27)*I20^3</f>
        <v>-2277431097851.2817</v>
      </c>
      <c r="K20">
        <f>(3*F20-E20^2)/9</f>
        <v>-8366.861894541762</v>
      </c>
      <c r="L20">
        <f>(9*E20*F20-27*G20-2*E20^3)/54</f>
        <v>127903.04125132605</v>
      </c>
      <c r="M20">
        <f>K20^3+L20^2</f>
        <v>-569357774462.82104</v>
      </c>
      <c r="N20" t="e">
        <f>(L20+SQRT(M20))^3</f>
        <v>#NUM!</v>
      </c>
      <c r="O20" t="e">
        <f>(L20-SQRT(M20))^3</f>
        <v>#NUM!</v>
      </c>
      <c r="P20" t="e">
        <f>N20+O20-E20/3</f>
        <v>#NUM!</v>
      </c>
    </row>
    <row r="21" spans="1:16" x14ac:dyDescent="0.3">
      <c r="A21">
        <v>0.72250000000000003</v>
      </c>
      <c r="B21">
        <v>-1.7</v>
      </c>
      <c r="C21" s="27">
        <v>284.77208739999998</v>
      </c>
      <c r="D21" s="27">
        <v>-5274.7208069999997</v>
      </c>
      <c r="E21">
        <f>B21/A21</f>
        <v>-2.3529411764705879</v>
      </c>
      <c r="F21">
        <f>C21/A21</f>
        <v>394.1482178546712</v>
      </c>
      <c r="G21">
        <f>D21/A21</f>
        <v>-7300.651635986158</v>
      </c>
      <c r="H21" s="31">
        <f>(1/27)*(9*F21*E21-27*G21-2*E21^3)</f>
        <v>6992.4807169158157</v>
      </c>
      <c r="I21">
        <f>(1/3)*(3*F21-E21^2)</f>
        <v>392.3027737946943</v>
      </c>
      <c r="J21" s="37">
        <f t="shared" ref="J21" si="8">H21^2+(4/27)*I21^3</f>
        <v>57839375.040314659</v>
      </c>
      <c r="K21">
        <f>(3*F21-E21^2)/9</f>
        <v>130.7675912648981</v>
      </c>
      <c r="L21">
        <f>(9*E21*F21-27*G21-2*E21^3)/54</f>
        <v>3496.2403584579083</v>
      </c>
      <c r="M21">
        <f>K21^3+L21^2</f>
        <v>14459843.760078667</v>
      </c>
      <c r="N21">
        <f>(L21+SQRT(M21))^3</f>
        <v>388833255671.1106</v>
      </c>
      <c r="O21">
        <f>(L21-SQRT(M21))^3</f>
        <v>-28756611.847019747</v>
      </c>
      <c r="P21">
        <f>N21+O21-E21/3</f>
        <v>388804499060.04785</v>
      </c>
    </row>
    <row r="23" spans="1:16" s="2" customFormat="1" x14ac:dyDescent="0.3">
      <c r="A23" s="2" t="s">
        <v>167</v>
      </c>
    </row>
    <row r="24" spans="1:16" x14ac:dyDescent="0.3">
      <c r="A24" s="6" t="s">
        <v>153</v>
      </c>
      <c r="B24" s="6" t="s">
        <v>154</v>
      </c>
      <c r="C24" s="6" t="s">
        <v>155</v>
      </c>
      <c r="D24" s="6" t="s">
        <v>161</v>
      </c>
      <c r="E24" s="6" t="s">
        <v>169</v>
      </c>
      <c r="F24" s="6" t="s">
        <v>170</v>
      </c>
      <c r="G24" s="6" t="s">
        <v>171</v>
      </c>
      <c r="H24" s="6" t="s">
        <v>172</v>
      </c>
      <c r="I24" s="6" t="s">
        <v>173</v>
      </c>
      <c r="J24" s="6" t="s">
        <v>174</v>
      </c>
      <c r="K24" s="6" t="s">
        <v>175</v>
      </c>
      <c r="L24" s="6" t="s">
        <v>125</v>
      </c>
      <c r="M24" s="6" t="s">
        <v>127</v>
      </c>
      <c r="N24" s="6" t="s">
        <v>176</v>
      </c>
    </row>
    <row r="25" spans="1:16" x14ac:dyDescent="0.3">
      <c r="A25">
        <v>0.72250000000000003</v>
      </c>
      <c r="B25">
        <v>-1.7</v>
      </c>
      <c r="C25" s="27">
        <v>284.77208739999998</v>
      </c>
      <c r="D25" s="27">
        <v>-5274.7208069999997</v>
      </c>
      <c r="E25">
        <f>B25/A25</f>
        <v>-2.3529411764705879</v>
      </c>
      <c r="F25">
        <f>C25/A25</f>
        <v>394.1482178546712</v>
      </c>
      <c r="G25">
        <f>D25/A25</f>
        <v>-7300.651635986158</v>
      </c>
      <c r="H25">
        <f>(3*F25-E25^2)/9</f>
        <v>130.7675912648981</v>
      </c>
      <c r="I25">
        <f>(9*E25*F25-27*G25-2*E25^3)/54</f>
        <v>3496.2403584579083</v>
      </c>
      <c r="J25">
        <f>H25^3+I25^2</f>
        <v>14459843.760078667</v>
      </c>
      <c r="K25" t="e">
        <f>ACOS(I25/SQRT(ABS(-H25^3)))</f>
        <v>#NUM!</v>
      </c>
      <c r="L25" s="32" t="e">
        <f>2*SQRT(ABS(-H25))*COS(K25/3)-E25/3</f>
        <v>#NUM!</v>
      </c>
      <c r="M25" s="32" t="e">
        <f>2*SQRT(ABS(-H25))*COS((K25+2*PI())/3)-E25/3</f>
        <v>#NUM!</v>
      </c>
      <c r="N25" s="32" t="e">
        <f>2*SQRT(ABS(-H25))*COS((K25+4*PI())/3)-E25/3</f>
        <v>#NUM!</v>
      </c>
    </row>
    <row r="26" spans="1:16" x14ac:dyDescent="0.3">
      <c r="A26">
        <v>0.63673250621051469</v>
      </c>
      <c r="B26">
        <v>-378.60426269086923</v>
      </c>
      <c r="C26">
        <v>59057.623334244614</v>
      </c>
      <c r="D26">
        <v>-1627072.6448583209</v>
      </c>
      <c r="E26">
        <f>B26/A26</f>
        <v>-594.60489137599666</v>
      </c>
      <c r="F26" s="31">
        <f>C26/A26</f>
        <v>92751.073265794839</v>
      </c>
      <c r="G26">
        <f>D26/A26</f>
        <v>-2555347.22821326</v>
      </c>
      <c r="H26" s="31">
        <f>(3*F26-E26^2)/9</f>
        <v>-8366.8618945418075</v>
      </c>
      <c r="I26" s="31">
        <f>(9*E26*F26-27*G26-2*E26^3)/54</f>
        <v>-127903.04125131833</v>
      </c>
      <c r="J26">
        <f>H26^3+I26^2</f>
        <v>-569357774462.83252</v>
      </c>
      <c r="K26">
        <f>ACOS(I26/SQRT(ABS(-H26^3)))</f>
        <v>1.7387075223394004</v>
      </c>
      <c r="L26" s="32">
        <f>2*SQRT(ABS(-H26))*COS(K26/3)-E26/3</f>
        <v>351.26820991498209</v>
      </c>
      <c r="M26" s="32">
        <f>2*SQRT(ABS(-H26))*COS((K26+2*PI())/3)-E26/3</f>
        <v>34.901109739869099</v>
      </c>
      <c r="N26" s="32">
        <f>2*SQRT(ABS(-H26))*COS((K26+4*PI())/3)-E26/3</f>
        <v>208.43557172114549</v>
      </c>
      <c r="P26" t="str">
        <f>"[TestCase("&amp;ROUND(A26,6)&amp;", "&amp;ROUND(B26,6)&amp;", "&amp;ROUND(C26,6)&amp;", "&amp;ROUND(D26,6)&amp;", "&amp;ROUND(L26,6)&amp;", "&amp;ROUND(M26,6)&amp;", "&amp;ROUND(N26,6)&amp;")]"</f>
        <v>[TestCase(0.636733, -378.604263, 59057.623334, -1627072.644858, 351.26821, 34.90111, 208.435572)]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CCEAE-A218-4C94-819E-031E3B1F04E0}">
  <sheetPr codeName="Sheet3"/>
  <dimension ref="A1"/>
  <sheetViews>
    <sheetView workbookViewId="0">
      <selection activeCell="B38" sqref="B38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5911-FCC4-4561-9B15-FA5562CD2EAD}">
  <sheetPr codeName="Sheet4"/>
  <dimension ref="A1:O36"/>
  <sheetViews>
    <sheetView topLeftCell="A13" workbookViewId="0">
      <selection activeCell="D3" sqref="D3"/>
    </sheetView>
  </sheetViews>
  <sheetFormatPr defaultRowHeight="14.4" x14ac:dyDescent="0.3"/>
  <cols>
    <col min="1" max="1" width="12" customWidth="1"/>
    <col min="10" max="11" width="23.44140625" bestFit="1" customWidth="1"/>
    <col min="12" max="14" width="34.5546875" bestFit="1" customWidth="1"/>
    <col min="15" max="15" width="33.88671875" bestFit="1" customWidth="1"/>
  </cols>
  <sheetData>
    <row r="1" spans="1:15" s="2" customFormat="1" x14ac:dyDescent="0.3">
      <c r="A1" s="2" t="s">
        <v>36</v>
      </c>
      <c r="J1" s="2" t="s">
        <v>52</v>
      </c>
    </row>
    <row r="2" spans="1:15" x14ac:dyDescent="0.3">
      <c r="A2" s="6" t="s">
        <v>43</v>
      </c>
      <c r="B2" s="6" t="s">
        <v>37</v>
      </c>
      <c r="C2" s="6" t="s">
        <v>38</v>
      </c>
      <c r="D2" s="6" t="s">
        <v>39</v>
      </c>
      <c r="E2" s="6" t="s">
        <v>41</v>
      </c>
      <c r="F2" s="6" t="s">
        <v>40</v>
      </c>
      <c r="G2" s="6" t="s">
        <v>42</v>
      </c>
      <c r="J2" s="6" t="s">
        <v>37</v>
      </c>
      <c r="K2" s="6" t="s">
        <v>38</v>
      </c>
      <c r="L2" s="6" t="s">
        <v>39</v>
      </c>
      <c r="M2" s="6" t="s">
        <v>41</v>
      </c>
      <c r="N2" s="6" t="s">
        <v>40</v>
      </c>
      <c r="O2" s="6" t="s">
        <v>42</v>
      </c>
    </row>
    <row r="3" spans="1:15" x14ac:dyDescent="0.3">
      <c r="A3">
        <v>0</v>
      </c>
      <c r="B3">
        <f>ROUND(SIN(RADIANS($A3)),6)</f>
        <v>0</v>
      </c>
      <c r="C3">
        <f>ROUND(COS(RADIANS($A3)),6)</f>
        <v>1</v>
      </c>
      <c r="D3">
        <f>ROUND(TAN(RADIANS($A3)),6)</f>
        <v>0</v>
      </c>
      <c r="E3">
        <f>ROUND(_xlfn.SEC(RADIANS($A3)),6)</f>
        <v>1</v>
      </c>
      <c r="F3" s="2" t="e">
        <f>ROUND(_xlfn.CSC(RADIANS($A3)),6)</f>
        <v>#DIV/0!</v>
      </c>
      <c r="G3" s="2" t="e">
        <f>ROUND(_xlfn.COT(RADIANS($A3)),6)</f>
        <v>#DIV/0!</v>
      </c>
      <c r="H3" s="9" t="s">
        <v>44</v>
      </c>
      <c r="J3" t="str">
        <f>"[TestCase("&amp;$A3&amp;","&amp;IF(B3&lt;-100,"double.NegativeInfinity",IF(B3&gt;100,"double.PositiveInfinity",B3))&amp;")]"</f>
        <v>[TestCase(0,0)]</v>
      </c>
      <c r="K3" t="str">
        <f t="shared" ref="K3:M3" si="0">"[TestCase("&amp;$A3&amp;","&amp;IF(C3&lt;-100,"double.NegativeInfinity",IF(C3&gt;100,"double.PositiveInfinity",C3))&amp;")]"</f>
        <v>[TestCase(0,1)]</v>
      </c>
      <c r="L3" t="str">
        <f t="shared" si="0"/>
        <v>[TestCase(0,0)]</v>
      </c>
      <c r="M3" t="str">
        <f t="shared" si="0"/>
        <v>[TestCase(0,1)]</v>
      </c>
      <c r="N3" s="10" t="str">
        <f>"[TestCase("&amp;$A3&amp;", double.PositiveInfinity)]"</f>
        <v>[TestCase(0, double.PositiveInfinity)]</v>
      </c>
      <c r="O3" s="10" t="str">
        <f>"[TestCase("&amp;$A3&amp;", double.PositiveInfinity)]"</f>
        <v>[TestCase(0, double.PositiveInfinity)]</v>
      </c>
    </row>
    <row r="4" spans="1:15" x14ac:dyDescent="0.3">
      <c r="A4">
        <v>45</v>
      </c>
      <c r="B4">
        <f t="shared" ref="B4:B21" si="1">ROUND(SIN(RADIANS($A4)),6)</f>
        <v>0.70710700000000004</v>
      </c>
      <c r="C4">
        <f t="shared" ref="C4:C21" si="2">ROUND(COS(RADIANS($A4)),6)</f>
        <v>0.70710700000000004</v>
      </c>
      <c r="D4">
        <f t="shared" ref="D4:D21" si="3">ROUND(TAN(RADIANS($A4)),6)</f>
        <v>1</v>
      </c>
      <c r="E4">
        <f t="shared" ref="E4:E21" si="4">ROUND(_xlfn.SEC(RADIANS($A4)),6)</f>
        <v>1.4142140000000001</v>
      </c>
      <c r="F4">
        <f t="shared" ref="F4:F21" si="5">ROUND(_xlfn.CSC(RADIANS($A4)),6)</f>
        <v>1.4142140000000001</v>
      </c>
      <c r="G4">
        <f t="shared" ref="G4:G21" si="6">ROUND(_xlfn.COT(RADIANS($A4)),6)</f>
        <v>1</v>
      </c>
      <c r="H4" s="2" t="s">
        <v>45</v>
      </c>
      <c r="J4" t="str">
        <f t="shared" ref="J4:J21" si="7">"[TestCase("&amp;$A4&amp;","&amp;IF(B4&lt;-100,"double.NegativeInfinity",IF(B4&gt;100,"double.PositiveInfinity",B4))&amp;")]"</f>
        <v>[TestCase(45,0.707107)]</v>
      </c>
      <c r="K4" t="str">
        <f t="shared" ref="K4:K21" si="8">"[TestCase("&amp;$A4&amp;","&amp;IF(C4&lt;-100,"double.NegativeInfinity",IF(C4&gt;100,"double.PositiveInfinity",C4))&amp;")]"</f>
        <v>[TestCase(45,0.707107)]</v>
      </c>
      <c r="L4" t="str">
        <f t="shared" ref="L4:L21" si="9">"[TestCase("&amp;$A4&amp;","&amp;IF(D4&lt;-100,"double.NegativeInfinity",IF(D4&gt;100,"double.PositiveInfinity",D4))&amp;")]"</f>
        <v>[TestCase(45,1)]</v>
      </c>
      <c r="M4" t="str">
        <f t="shared" ref="M4:M21" si="10">"[TestCase("&amp;$A4&amp;","&amp;IF(E4&lt;-100,"double.NegativeInfinity",IF(E4&gt;100,"double.PositiveInfinity",E4))&amp;")]"</f>
        <v>[TestCase(45,1.414214)]</v>
      </c>
      <c r="N4" t="str">
        <f t="shared" ref="N4:N21" si="11">"[TestCase("&amp;$A4&amp;","&amp;IF(F4&lt;-100,"double.NegativeInfinity",IF(F4&gt;100,"double.PositiveInfinity",F4))&amp;")]"</f>
        <v>[TestCase(45,1.414214)]</v>
      </c>
      <c r="O4" t="str">
        <f t="shared" ref="O4:O21" si="12">"[TestCase("&amp;$A4&amp;","&amp;IF(G4&lt;-100,"double.NegativeInfinity",IF(G4&gt;100,"double.PositiveInfinity",G4))&amp;")]"</f>
        <v>[TestCase(45,1)]</v>
      </c>
    </row>
    <row r="5" spans="1:15" x14ac:dyDescent="0.3">
      <c r="A5">
        <v>90</v>
      </c>
      <c r="B5">
        <f t="shared" si="1"/>
        <v>1</v>
      </c>
      <c r="C5">
        <f t="shared" si="2"/>
        <v>0</v>
      </c>
      <c r="D5" s="2">
        <f t="shared" si="3"/>
        <v>1.63245522776191E+16</v>
      </c>
      <c r="E5" s="2">
        <f t="shared" si="4"/>
        <v>1.63245522776191E+16</v>
      </c>
      <c r="F5">
        <f t="shared" si="5"/>
        <v>1</v>
      </c>
      <c r="G5">
        <f t="shared" si="6"/>
        <v>0</v>
      </c>
      <c r="J5" t="str">
        <f t="shared" si="7"/>
        <v>[TestCase(90,1)]</v>
      </c>
      <c r="K5" t="str">
        <f t="shared" si="8"/>
        <v>[TestCase(90,0)]</v>
      </c>
      <c r="L5" t="str">
        <f t="shared" si="9"/>
        <v>[TestCase(90,double.PositiveInfinity)]</v>
      </c>
      <c r="M5" t="str">
        <f t="shared" si="10"/>
        <v>[TestCase(90,double.PositiveInfinity)]</v>
      </c>
      <c r="N5" t="str">
        <f t="shared" si="11"/>
        <v>[TestCase(90,1)]</v>
      </c>
      <c r="O5" t="str">
        <f t="shared" si="12"/>
        <v>[TestCase(90,0)]</v>
      </c>
    </row>
    <row r="6" spans="1:15" x14ac:dyDescent="0.3">
      <c r="A6">
        <v>135</v>
      </c>
      <c r="B6">
        <f t="shared" si="1"/>
        <v>0.70710700000000004</v>
      </c>
      <c r="C6">
        <f t="shared" si="2"/>
        <v>-0.70710700000000004</v>
      </c>
      <c r="D6">
        <f t="shared" si="3"/>
        <v>-1</v>
      </c>
      <c r="E6">
        <f t="shared" si="4"/>
        <v>-1.4142140000000001</v>
      </c>
      <c r="F6">
        <f t="shared" si="5"/>
        <v>1.4142140000000001</v>
      </c>
      <c r="G6">
        <f t="shared" si="6"/>
        <v>-1</v>
      </c>
      <c r="J6" t="str">
        <f t="shared" si="7"/>
        <v>[TestCase(135,0.707107)]</v>
      </c>
      <c r="K6" t="str">
        <f t="shared" si="8"/>
        <v>[TestCase(135,-0.707107)]</v>
      </c>
      <c r="L6" t="str">
        <f t="shared" si="9"/>
        <v>[TestCase(135,-1)]</v>
      </c>
      <c r="M6" t="str">
        <f t="shared" si="10"/>
        <v>[TestCase(135,-1.414214)]</v>
      </c>
      <c r="N6" t="str">
        <f t="shared" si="11"/>
        <v>[TestCase(135,1.414214)]</v>
      </c>
      <c r="O6" t="str">
        <f t="shared" si="12"/>
        <v>[TestCase(135,-1)]</v>
      </c>
    </row>
    <row r="7" spans="1:15" x14ac:dyDescent="0.3">
      <c r="A7">
        <v>180</v>
      </c>
      <c r="B7">
        <f t="shared" si="1"/>
        <v>0</v>
      </c>
      <c r="C7">
        <f t="shared" si="2"/>
        <v>-1</v>
      </c>
      <c r="D7">
        <f t="shared" si="3"/>
        <v>0</v>
      </c>
      <c r="E7">
        <f t="shared" si="4"/>
        <v>-1</v>
      </c>
      <c r="F7" s="2">
        <f t="shared" si="5"/>
        <v>8162276138809540</v>
      </c>
      <c r="G7" s="9">
        <f t="shared" si="6"/>
        <v>-8162276138809540</v>
      </c>
      <c r="J7" t="str">
        <f t="shared" si="7"/>
        <v>[TestCase(180,0)]</v>
      </c>
      <c r="K7" t="str">
        <f t="shared" si="8"/>
        <v>[TestCase(180,-1)]</v>
      </c>
      <c r="L7" t="str">
        <f t="shared" si="9"/>
        <v>[TestCase(180,0)]</v>
      </c>
      <c r="M7" t="str">
        <f t="shared" si="10"/>
        <v>[TestCase(180,-1)]</v>
      </c>
      <c r="N7" t="str">
        <f t="shared" si="11"/>
        <v>[TestCase(180,double.PositiveInfinity)]</v>
      </c>
      <c r="O7" t="str">
        <f t="shared" si="12"/>
        <v>[TestCase(180,double.NegativeInfinity)]</v>
      </c>
    </row>
    <row r="8" spans="1:15" x14ac:dyDescent="0.3">
      <c r="A8">
        <v>225</v>
      </c>
      <c r="B8">
        <f t="shared" si="1"/>
        <v>-0.70710700000000004</v>
      </c>
      <c r="C8">
        <f t="shared" si="2"/>
        <v>-0.70710700000000004</v>
      </c>
      <c r="D8">
        <f t="shared" si="3"/>
        <v>1</v>
      </c>
      <c r="E8">
        <f t="shared" si="4"/>
        <v>-1.4142140000000001</v>
      </c>
      <c r="F8">
        <f t="shared" si="5"/>
        <v>-1.4142140000000001</v>
      </c>
      <c r="G8">
        <f t="shared" si="6"/>
        <v>1</v>
      </c>
      <c r="J8" t="str">
        <f t="shared" si="7"/>
        <v>[TestCase(225,-0.707107)]</v>
      </c>
      <c r="K8" t="str">
        <f t="shared" si="8"/>
        <v>[TestCase(225,-0.707107)]</v>
      </c>
      <c r="L8" t="str">
        <f t="shared" si="9"/>
        <v>[TestCase(225,1)]</v>
      </c>
      <c r="M8" t="str">
        <f t="shared" si="10"/>
        <v>[TestCase(225,-1.414214)]</v>
      </c>
      <c r="N8" t="str">
        <f t="shared" si="11"/>
        <v>[TestCase(225,-1.414214)]</v>
      </c>
      <c r="O8" t="str">
        <f t="shared" si="12"/>
        <v>[TestCase(225,1)]</v>
      </c>
    </row>
    <row r="9" spans="1:15" x14ac:dyDescent="0.3">
      <c r="A9">
        <v>270</v>
      </c>
      <c r="B9">
        <f t="shared" si="1"/>
        <v>-1</v>
      </c>
      <c r="C9">
        <f t="shared" si="2"/>
        <v>0</v>
      </c>
      <c r="D9" s="2">
        <f t="shared" si="3"/>
        <v>5441517425873020</v>
      </c>
      <c r="E9" s="9">
        <f t="shared" si="4"/>
        <v>-5441517425873020</v>
      </c>
      <c r="F9">
        <f t="shared" si="5"/>
        <v>-1</v>
      </c>
      <c r="G9">
        <f t="shared" si="6"/>
        <v>0</v>
      </c>
      <c r="J9" t="str">
        <f t="shared" si="7"/>
        <v>[TestCase(270,-1)]</v>
      </c>
      <c r="K9" t="str">
        <f t="shared" si="8"/>
        <v>[TestCase(270,0)]</v>
      </c>
      <c r="L9" t="str">
        <f t="shared" si="9"/>
        <v>[TestCase(270,double.PositiveInfinity)]</v>
      </c>
      <c r="M9" t="str">
        <f t="shared" si="10"/>
        <v>[TestCase(270,double.NegativeInfinity)]</v>
      </c>
      <c r="N9" t="str">
        <f t="shared" si="11"/>
        <v>[TestCase(270,-1)]</v>
      </c>
      <c r="O9" t="str">
        <f t="shared" si="12"/>
        <v>[TestCase(270,0)]</v>
      </c>
    </row>
    <row r="10" spans="1:15" x14ac:dyDescent="0.3">
      <c r="A10">
        <v>315</v>
      </c>
      <c r="B10">
        <f t="shared" si="1"/>
        <v>-0.70710700000000004</v>
      </c>
      <c r="C10">
        <f t="shared" si="2"/>
        <v>0.70710700000000004</v>
      </c>
      <c r="D10">
        <f t="shared" si="3"/>
        <v>-1</v>
      </c>
      <c r="E10">
        <f t="shared" si="4"/>
        <v>1.4142140000000001</v>
      </c>
      <c r="F10">
        <f t="shared" si="5"/>
        <v>-1.4142140000000001</v>
      </c>
      <c r="G10">
        <f t="shared" si="6"/>
        <v>-1</v>
      </c>
      <c r="J10" t="str">
        <f t="shared" si="7"/>
        <v>[TestCase(315,-0.707107)]</v>
      </c>
      <c r="K10" t="str">
        <f t="shared" si="8"/>
        <v>[TestCase(315,0.707107)]</v>
      </c>
      <c r="L10" t="str">
        <f t="shared" si="9"/>
        <v>[TestCase(315,-1)]</v>
      </c>
      <c r="M10" t="str">
        <f t="shared" si="10"/>
        <v>[TestCase(315,1.414214)]</v>
      </c>
      <c r="N10" t="str">
        <f t="shared" si="11"/>
        <v>[TestCase(315,-1.414214)]</v>
      </c>
      <c r="O10" t="str">
        <f t="shared" si="12"/>
        <v>[TestCase(315,-1)]</v>
      </c>
    </row>
    <row r="11" spans="1:15" x14ac:dyDescent="0.3">
      <c r="A11">
        <v>360</v>
      </c>
      <c r="B11">
        <f t="shared" si="1"/>
        <v>0</v>
      </c>
      <c r="C11">
        <f t="shared" si="2"/>
        <v>1</v>
      </c>
      <c r="D11">
        <f t="shared" si="3"/>
        <v>0</v>
      </c>
      <c r="E11">
        <f t="shared" si="4"/>
        <v>1</v>
      </c>
      <c r="F11" s="9">
        <f t="shared" si="5"/>
        <v>-4081138069404770</v>
      </c>
      <c r="G11" s="9">
        <f t="shared" si="6"/>
        <v>-4081138069404770</v>
      </c>
      <c r="J11" t="str">
        <f t="shared" si="7"/>
        <v>[TestCase(360,0)]</v>
      </c>
      <c r="K11" t="str">
        <f t="shared" si="8"/>
        <v>[TestCase(360,1)]</v>
      </c>
      <c r="L11" t="str">
        <f t="shared" si="9"/>
        <v>[TestCase(360,0)]</v>
      </c>
      <c r="M11" t="str">
        <f t="shared" si="10"/>
        <v>[TestCase(360,1)]</v>
      </c>
      <c r="N11" t="str">
        <f t="shared" si="11"/>
        <v>[TestCase(360,double.NegativeInfinity)]</v>
      </c>
      <c r="O11" t="str">
        <f t="shared" si="12"/>
        <v>[TestCase(360,double.NegativeInfinity)]</v>
      </c>
    </row>
    <row r="12" spans="1:15" x14ac:dyDescent="0.3">
      <c r="A12">
        <v>30</v>
      </c>
      <c r="B12">
        <f t="shared" si="1"/>
        <v>0.5</v>
      </c>
      <c r="C12">
        <f t="shared" si="2"/>
        <v>0.86602500000000004</v>
      </c>
      <c r="D12">
        <f t="shared" si="3"/>
        <v>0.57735000000000003</v>
      </c>
      <c r="E12">
        <f t="shared" si="4"/>
        <v>1.154701</v>
      </c>
      <c r="F12">
        <f t="shared" si="5"/>
        <v>2</v>
      </c>
      <c r="G12">
        <f t="shared" si="6"/>
        <v>1.732051</v>
      </c>
      <c r="J12" t="str">
        <f t="shared" si="7"/>
        <v>[TestCase(30,0.5)]</v>
      </c>
      <c r="K12" t="str">
        <f t="shared" si="8"/>
        <v>[TestCase(30,0.866025)]</v>
      </c>
      <c r="L12" t="str">
        <f t="shared" si="9"/>
        <v>[TestCase(30,0.57735)]</v>
      </c>
      <c r="M12" t="str">
        <f t="shared" si="10"/>
        <v>[TestCase(30,1.154701)]</v>
      </c>
      <c r="N12" t="str">
        <f t="shared" si="11"/>
        <v>[TestCase(30,2)]</v>
      </c>
      <c r="O12" t="str">
        <f t="shared" si="12"/>
        <v>[TestCase(30,1.732051)]</v>
      </c>
    </row>
    <row r="13" spans="1:15" x14ac:dyDescent="0.3">
      <c r="A13">
        <v>60</v>
      </c>
      <c r="B13">
        <f t="shared" si="1"/>
        <v>0.86602500000000004</v>
      </c>
      <c r="C13">
        <f t="shared" si="2"/>
        <v>0.5</v>
      </c>
      <c r="D13">
        <f t="shared" si="3"/>
        <v>1.732051</v>
      </c>
      <c r="E13">
        <f t="shared" si="4"/>
        <v>2</v>
      </c>
      <c r="F13">
        <f t="shared" si="5"/>
        <v>1.154701</v>
      </c>
      <c r="G13">
        <f t="shared" si="6"/>
        <v>0.57735000000000003</v>
      </c>
      <c r="J13" t="str">
        <f t="shared" si="7"/>
        <v>[TestCase(60,0.866025)]</v>
      </c>
      <c r="K13" t="str">
        <f t="shared" si="8"/>
        <v>[TestCase(60,0.5)]</v>
      </c>
      <c r="L13" t="str">
        <f t="shared" si="9"/>
        <v>[TestCase(60,1.732051)]</v>
      </c>
      <c r="M13" t="str">
        <f t="shared" si="10"/>
        <v>[TestCase(60,2)]</v>
      </c>
      <c r="N13" t="str">
        <f t="shared" si="11"/>
        <v>[TestCase(60,1.154701)]</v>
      </c>
      <c r="O13" t="str">
        <f t="shared" si="12"/>
        <v>[TestCase(60,0.57735)]</v>
      </c>
    </row>
    <row r="14" spans="1:15" x14ac:dyDescent="0.3">
      <c r="A14">
        <f t="shared" ref="A14:A21" si="13">-A4</f>
        <v>-45</v>
      </c>
      <c r="B14">
        <f t="shared" si="1"/>
        <v>-0.70710700000000004</v>
      </c>
      <c r="C14">
        <f t="shared" si="2"/>
        <v>0.70710700000000004</v>
      </c>
      <c r="D14">
        <f t="shared" si="3"/>
        <v>-1</v>
      </c>
      <c r="E14">
        <f t="shared" si="4"/>
        <v>1.4142140000000001</v>
      </c>
      <c r="F14">
        <f t="shared" si="5"/>
        <v>-1.4142140000000001</v>
      </c>
      <c r="G14">
        <f t="shared" si="6"/>
        <v>-1</v>
      </c>
      <c r="J14" t="str">
        <f t="shared" si="7"/>
        <v>[TestCase(-45,-0.707107)]</v>
      </c>
      <c r="K14" t="str">
        <f t="shared" si="8"/>
        <v>[TestCase(-45,0.707107)]</v>
      </c>
      <c r="L14" t="str">
        <f t="shared" si="9"/>
        <v>[TestCase(-45,-1)]</v>
      </c>
      <c r="M14" t="str">
        <f t="shared" si="10"/>
        <v>[TestCase(-45,1.414214)]</v>
      </c>
      <c r="N14" t="str">
        <f t="shared" si="11"/>
        <v>[TestCase(-45,-1.414214)]</v>
      </c>
      <c r="O14" t="str">
        <f t="shared" si="12"/>
        <v>[TestCase(-45,-1)]</v>
      </c>
    </row>
    <row r="15" spans="1:15" x14ac:dyDescent="0.3">
      <c r="A15">
        <f t="shared" si="13"/>
        <v>-90</v>
      </c>
      <c r="B15">
        <f t="shared" si="1"/>
        <v>-1</v>
      </c>
      <c r="C15">
        <f t="shared" si="2"/>
        <v>0</v>
      </c>
      <c r="D15" s="9">
        <f t="shared" si="3"/>
        <v>-1.63245522776191E+16</v>
      </c>
      <c r="E15" s="2">
        <f t="shared" si="4"/>
        <v>1.63245522776191E+16</v>
      </c>
      <c r="F15">
        <f t="shared" si="5"/>
        <v>-1</v>
      </c>
      <c r="G15">
        <f t="shared" si="6"/>
        <v>0</v>
      </c>
      <c r="J15" t="str">
        <f t="shared" si="7"/>
        <v>[TestCase(-90,-1)]</v>
      </c>
      <c r="K15" t="str">
        <f t="shared" si="8"/>
        <v>[TestCase(-90,0)]</v>
      </c>
      <c r="L15" t="str">
        <f t="shared" si="9"/>
        <v>[TestCase(-90,double.NegativeInfinity)]</v>
      </c>
      <c r="M15" t="str">
        <f t="shared" si="10"/>
        <v>[TestCase(-90,double.PositiveInfinity)]</v>
      </c>
      <c r="N15" t="str">
        <f t="shared" si="11"/>
        <v>[TestCase(-90,-1)]</v>
      </c>
      <c r="O15" t="str">
        <f t="shared" si="12"/>
        <v>[TestCase(-90,0)]</v>
      </c>
    </row>
    <row r="16" spans="1:15" x14ac:dyDescent="0.3">
      <c r="A16">
        <f t="shared" si="13"/>
        <v>-135</v>
      </c>
      <c r="B16">
        <f t="shared" si="1"/>
        <v>-0.70710700000000004</v>
      </c>
      <c r="C16">
        <f t="shared" si="2"/>
        <v>-0.70710700000000004</v>
      </c>
      <c r="D16">
        <f t="shared" si="3"/>
        <v>1</v>
      </c>
      <c r="E16">
        <f t="shared" si="4"/>
        <v>-1.4142140000000001</v>
      </c>
      <c r="F16">
        <f t="shared" si="5"/>
        <v>-1.4142140000000001</v>
      </c>
      <c r="G16">
        <f t="shared" si="6"/>
        <v>1</v>
      </c>
      <c r="J16" t="str">
        <f t="shared" si="7"/>
        <v>[TestCase(-135,-0.707107)]</v>
      </c>
      <c r="K16" t="str">
        <f t="shared" si="8"/>
        <v>[TestCase(-135,-0.707107)]</v>
      </c>
      <c r="L16" t="str">
        <f t="shared" si="9"/>
        <v>[TestCase(-135,1)]</v>
      </c>
      <c r="M16" t="str">
        <f t="shared" si="10"/>
        <v>[TestCase(-135,-1.414214)]</v>
      </c>
      <c r="N16" t="str">
        <f t="shared" si="11"/>
        <v>[TestCase(-135,-1.414214)]</v>
      </c>
      <c r="O16" t="str">
        <f t="shared" si="12"/>
        <v>[TestCase(-135,1)]</v>
      </c>
    </row>
    <row r="17" spans="1:15" x14ac:dyDescent="0.3">
      <c r="A17">
        <f t="shared" si="13"/>
        <v>-180</v>
      </c>
      <c r="B17">
        <f t="shared" si="1"/>
        <v>0</v>
      </c>
      <c r="C17">
        <f t="shared" si="2"/>
        <v>-1</v>
      </c>
      <c r="D17">
        <f t="shared" si="3"/>
        <v>0</v>
      </c>
      <c r="E17">
        <f t="shared" si="4"/>
        <v>-1</v>
      </c>
      <c r="F17" s="9">
        <f t="shared" si="5"/>
        <v>-8162276138809540</v>
      </c>
      <c r="G17" s="2">
        <f t="shared" si="6"/>
        <v>8162276138809540</v>
      </c>
      <c r="J17" t="str">
        <f t="shared" si="7"/>
        <v>[TestCase(-180,0)]</v>
      </c>
      <c r="K17" t="str">
        <f t="shared" si="8"/>
        <v>[TestCase(-180,-1)]</v>
      </c>
      <c r="L17" t="str">
        <f t="shared" si="9"/>
        <v>[TestCase(-180,0)]</v>
      </c>
      <c r="M17" t="str">
        <f t="shared" si="10"/>
        <v>[TestCase(-180,-1)]</v>
      </c>
      <c r="N17" t="str">
        <f t="shared" si="11"/>
        <v>[TestCase(-180,double.NegativeInfinity)]</v>
      </c>
      <c r="O17" t="str">
        <f t="shared" si="12"/>
        <v>[TestCase(-180,double.PositiveInfinity)]</v>
      </c>
    </row>
    <row r="18" spans="1:15" x14ac:dyDescent="0.3">
      <c r="A18">
        <f t="shared" si="13"/>
        <v>-225</v>
      </c>
      <c r="B18">
        <f t="shared" si="1"/>
        <v>0.70710700000000004</v>
      </c>
      <c r="C18">
        <f t="shared" si="2"/>
        <v>-0.70710700000000004</v>
      </c>
      <c r="D18">
        <f t="shared" si="3"/>
        <v>-1</v>
      </c>
      <c r="E18">
        <f t="shared" si="4"/>
        <v>-1.4142140000000001</v>
      </c>
      <c r="F18">
        <f t="shared" si="5"/>
        <v>1.4142140000000001</v>
      </c>
      <c r="G18">
        <f t="shared" si="6"/>
        <v>-1</v>
      </c>
      <c r="J18" t="str">
        <f t="shared" si="7"/>
        <v>[TestCase(-225,0.707107)]</v>
      </c>
      <c r="K18" t="str">
        <f t="shared" si="8"/>
        <v>[TestCase(-225,-0.707107)]</v>
      </c>
      <c r="L18" t="str">
        <f t="shared" si="9"/>
        <v>[TestCase(-225,-1)]</v>
      </c>
      <c r="M18" t="str">
        <f t="shared" si="10"/>
        <v>[TestCase(-225,-1.414214)]</v>
      </c>
      <c r="N18" t="str">
        <f t="shared" si="11"/>
        <v>[TestCase(-225,1.414214)]</v>
      </c>
      <c r="O18" t="str">
        <f t="shared" si="12"/>
        <v>[TestCase(-225,-1)]</v>
      </c>
    </row>
    <row r="19" spans="1:15" x14ac:dyDescent="0.3">
      <c r="A19">
        <f t="shared" si="13"/>
        <v>-270</v>
      </c>
      <c r="B19">
        <f t="shared" si="1"/>
        <v>1</v>
      </c>
      <c r="C19">
        <f t="shared" si="2"/>
        <v>0</v>
      </c>
      <c r="D19" s="9">
        <f t="shared" si="3"/>
        <v>-5441517425873020</v>
      </c>
      <c r="E19" s="9">
        <f t="shared" si="4"/>
        <v>-5441517425873020</v>
      </c>
      <c r="F19">
        <f t="shared" si="5"/>
        <v>1</v>
      </c>
      <c r="G19">
        <f t="shared" si="6"/>
        <v>0</v>
      </c>
      <c r="J19" t="str">
        <f t="shared" si="7"/>
        <v>[TestCase(-270,1)]</v>
      </c>
      <c r="K19" t="str">
        <f t="shared" si="8"/>
        <v>[TestCase(-270,0)]</v>
      </c>
      <c r="L19" t="str">
        <f t="shared" si="9"/>
        <v>[TestCase(-270,double.NegativeInfinity)]</v>
      </c>
      <c r="M19" t="str">
        <f t="shared" si="10"/>
        <v>[TestCase(-270,double.NegativeInfinity)]</v>
      </c>
      <c r="N19" t="str">
        <f t="shared" si="11"/>
        <v>[TestCase(-270,1)]</v>
      </c>
      <c r="O19" t="str">
        <f t="shared" si="12"/>
        <v>[TestCase(-270,0)]</v>
      </c>
    </row>
    <row r="20" spans="1:15" x14ac:dyDescent="0.3">
      <c r="A20">
        <f t="shared" si="13"/>
        <v>-315</v>
      </c>
      <c r="B20">
        <f t="shared" si="1"/>
        <v>0.70710700000000004</v>
      </c>
      <c r="C20">
        <f t="shared" si="2"/>
        <v>0.70710700000000004</v>
      </c>
      <c r="D20">
        <f t="shared" si="3"/>
        <v>1</v>
      </c>
      <c r="E20">
        <f t="shared" si="4"/>
        <v>1.4142140000000001</v>
      </c>
      <c r="F20">
        <f t="shared" si="5"/>
        <v>1.4142140000000001</v>
      </c>
      <c r="G20">
        <f t="shared" si="6"/>
        <v>1</v>
      </c>
      <c r="J20" t="str">
        <f t="shared" si="7"/>
        <v>[TestCase(-315,0.707107)]</v>
      </c>
      <c r="K20" t="str">
        <f t="shared" si="8"/>
        <v>[TestCase(-315,0.707107)]</v>
      </c>
      <c r="L20" t="str">
        <f t="shared" si="9"/>
        <v>[TestCase(-315,1)]</v>
      </c>
      <c r="M20" t="str">
        <f t="shared" si="10"/>
        <v>[TestCase(-315,1.414214)]</v>
      </c>
      <c r="N20" t="str">
        <f t="shared" si="11"/>
        <v>[TestCase(-315,1.414214)]</v>
      </c>
      <c r="O20" t="str">
        <f t="shared" si="12"/>
        <v>[TestCase(-315,1)]</v>
      </c>
    </row>
    <row r="21" spans="1:15" x14ac:dyDescent="0.3">
      <c r="A21">
        <f t="shared" si="13"/>
        <v>-360</v>
      </c>
      <c r="B21">
        <f t="shared" si="1"/>
        <v>0</v>
      </c>
      <c r="C21">
        <f t="shared" si="2"/>
        <v>1</v>
      </c>
      <c r="D21">
        <f t="shared" si="3"/>
        <v>0</v>
      </c>
      <c r="E21">
        <f t="shared" si="4"/>
        <v>1</v>
      </c>
      <c r="F21" s="2">
        <f t="shared" si="5"/>
        <v>4081138069404770</v>
      </c>
      <c r="G21" s="2">
        <f t="shared" si="6"/>
        <v>4081138069404770</v>
      </c>
      <c r="J21" t="str">
        <f t="shared" si="7"/>
        <v>[TestCase(-360,0)]</v>
      </c>
      <c r="K21" t="str">
        <f t="shared" si="8"/>
        <v>[TestCase(-360,1)]</v>
      </c>
      <c r="L21" t="str">
        <f t="shared" si="9"/>
        <v>[TestCase(-360,0)]</v>
      </c>
      <c r="M21" t="str">
        <f t="shared" si="10"/>
        <v>[TestCase(-360,1)]</v>
      </c>
      <c r="N21" t="str">
        <f t="shared" si="11"/>
        <v>[TestCase(-360,double.PositiveInfinity)]</v>
      </c>
      <c r="O21" t="str">
        <f t="shared" si="12"/>
        <v>[TestCase(-360,double.PositiveInfinity)]</v>
      </c>
    </row>
    <row r="23" spans="1:15" s="2" customFormat="1" x14ac:dyDescent="0.3">
      <c r="A23" s="2" t="s">
        <v>46</v>
      </c>
    </row>
    <row r="24" spans="1:15" s="2" customFormat="1" x14ac:dyDescent="0.3">
      <c r="D24" s="11" t="s">
        <v>51</v>
      </c>
      <c r="E24" s="12"/>
      <c r="F24" s="17"/>
      <c r="G24" s="11" t="s">
        <v>33</v>
      </c>
      <c r="H24" s="12"/>
      <c r="I24" s="17"/>
      <c r="J24" s="11" t="s">
        <v>32</v>
      </c>
      <c r="K24" s="12"/>
      <c r="L24" s="17"/>
      <c r="M24" s="2" t="s">
        <v>52</v>
      </c>
    </row>
    <row r="25" spans="1:15" x14ac:dyDescent="0.3">
      <c r="A25" s="6" t="s">
        <v>22</v>
      </c>
      <c r="B25" s="6" t="s">
        <v>23</v>
      </c>
      <c r="C25" s="6" t="s">
        <v>50</v>
      </c>
      <c r="D25" s="13" t="s">
        <v>47</v>
      </c>
      <c r="E25" s="14" t="s">
        <v>48</v>
      </c>
      <c r="F25" s="18" t="s">
        <v>49</v>
      </c>
      <c r="G25" s="13" t="s">
        <v>47</v>
      </c>
      <c r="H25" s="14" t="s">
        <v>48</v>
      </c>
      <c r="I25" s="18" t="s">
        <v>49</v>
      </c>
      <c r="J25" s="13" t="s">
        <v>47</v>
      </c>
      <c r="K25" s="14" t="s">
        <v>48</v>
      </c>
      <c r="L25" s="18" t="s">
        <v>49</v>
      </c>
      <c r="M25" s="13" t="s">
        <v>47</v>
      </c>
      <c r="N25" s="14" t="s">
        <v>48</v>
      </c>
      <c r="O25" s="18" t="s">
        <v>49</v>
      </c>
    </row>
    <row r="26" spans="1:15" x14ac:dyDescent="0.3">
      <c r="A26">
        <v>1</v>
      </c>
      <c r="B26">
        <v>0</v>
      </c>
      <c r="C26">
        <f t="shared" ref="C26:C35" si="14">SQRT(A26^2+B26^2)</f>
        <v>1</v>
      </c>
      <c r="D26" s="15">
        <f t="shared" ref="D26:D35" si="15">$B26/$C26</f>
        <v>0</v>
      </c>
      <c r="E26" s="16">
        <f t="shared" ref="E26:E35" si="16">$A26/$C26</f>
        <v>1</v>
      </c>
      <c r="F26" s="19">
        <f t="shared" ref="F26:F35" si="17">$B26/$A26</f>
        <v>0</v>
      </c>
      <c r="G26" s="15">
        <f t="shared" ref="G26:G35" si="18">ASIN(D26)</f>
        <v>0</v>
      </c>
      <c r="H26" s="16">
        <f t="shared" ref="H26:H35" si="19">ACOS(E26)</f>
        <v>0</v>
      </c>
      <c r="I26" s="19">
        <f t="shared" ref="I26:I35" si="20">ATAN(F26)</f>
        <v>0</v>
      </c>
      <c r="J26" s="15">
        <f t="shared" ref="J26:J35" si="21">DEGREES(G26)</f>
        <v>0</v>
      </c>
      <c r="K26" s="16">
        <f t="shared" ref="K26:K35" si="22">DEGREES(H26)</f>
        <v>0</v>
      </c>
      <c r="L26" s="19">
        <f t="shared" ref="L26:L35" si="23">DEGREES(I26)</f>
        <v>0</v>
      </c>
      <c r="M26" t="str">
        <f t="shared" ref="M26:M35" si="24">"[TestCase("&amp;ROUND(D26,6)&amp;","&amp;ROUND(G26,6)&amp;")]"</f>
        <v>[TestCase(0,0)]</v>
      </c>
      <c r="N26" t="str">
        <f>"[TestCase("&amp;ROUND(E26,6)&amp;","&amp;ROUND(H26,6)&amp;")]"</f>
        <v>[TestCase(1,0)]</v>
      </c>
      <c r="O26" t="str">
        <f>"[TestCase("&amp;ROUND(F26,6)&amp;","&amp;ROUND(I26,6)&amp;")]"</f>
        <v>[TestCase(0,0)]</v>
      </c>
    </row>
    <row r="27" spans="1:15" x14ac:dyDescent="0.3">
      <c r="A27">
        <v>1</v>
      </c>
      <c r="B27">
        <v>1</v>
      </c>
      <c r="C27">
        <f t="shared" si="14"/>
        <v>1.4142135623730951</v>
      </c>
      <c r="D27" s="15">
        <f t="shared" si="15"/>
        <v>0.70710678118654746</v>
      </c>
      <c r="E27" s="16">
        <f t="shared" si="16"/>
        <v>0.70710678118654746</v>
      </c>
      <c r="F27" s="19">
        <f t="shared" si="17"/>
        <v>1</v>
      </c>
      <c r="G27" s="15">
        <f t="shared" si="18"/>
        <v>0.78539816339744828</v>
      </c>
      <c r="H27" s="16">
        <f t="shared" si="19"/>
        <v>0.78539816339744828</v>
      </c>
      <c r="I27" s="19">
        <f t="shared" si="20"/>
        <v>0.78539816339744828</v>
      </c>
      <c r="J27" s="15">
        <f t="shared" si="21"/>
        <v>45</v>
      </c>
      <c r="K27" s="16">
        <f t="shared" si="22"/>
        <v>45</v>
      </c>
      <c r="L27" s="19">
        <f t="shared" si="23"/>
        <v>45</v>
      </c>
      <c r="M27" t="str">
        <f t="shared" si="24"/>
        <v>[TestCase(0.707107,0.785398)]</v>
      </c>
      <c r="N27" t="str">
        <f>"[TestCase("&amp;ROUND(E27,6)&amp;","&amp;ROUND(H27,6)&amp;")]"</f>
        <v>[TestCase(0.707107,0.785398)]</v>
      </c>
      <c r="O27" t="str">
        <f>"[TestCase("&amp;ROUND(F27,6)&amp;","&amp;ROUND(I27,6)&amp;")]"</f>
        <v>[TestCase(1,0.785398)]</v>
      </c>
    </row>
    <row r="28" spans="1:15" x14ac:dyDescent="0.3">
      <c r="A28">
        <v>0</v>
      </c>
      <c r="B28">
        <v>1</v>
      </c>
      <c r="C28">
        <f t="shared" si="14"/>
        <v>1</v>
      </c>
      <c r="D28" s="15">
        <f t="shared" si="15"/>
        <v>1</v>
      </c>
      <c r="E28" s="21">
        <f t="shared" si="16"/>
        <v>0</v>
      </c>
      <c r="F28" s="19" t="e">
        <f t="shared" si="17"/>
        <v>#DIV/0!</v>
      </c>
      <c r="G28" s="15">
        <f t="shared" si="18"/>
        <v>1.5707963267948966</v>
      </c>
      <c r="H28" s="16">
        <f t="shared" si="19"/>
        <v>1.5707963267948966</v>
      </c>
      <c r="I28" s="19" t="e">
        <f t="shared" si="20"/>
        <v>#DIV/0!</v>
      </c>
      <c r="J28" s="15">
        <f t="shared" si="21"/>
        <v>90</v>
      </c>
      <c r="K28" s="21">
        <f t="shared" si="22"/>
        <v>90</v>
      </c>
      <c r="L28" s="19" t="e">
        <f t="shared" si="23"/>
        <v>#DIV/0!</v>
      </c>
      <c r="M28" t="str">
        <f t="shared" si="24"/>
        <v>[TestCase(1,1.570796)]</v>
      </c>
      <c r="N28" t="str">
        <f t="shared" ref="N28:N35" si="25">"[TestCase("&amp;ROUND(E28,6)&amp;","&amp;ROUND(H28,6)&amp;")]"</f>
        <v>[TestCase(0,1.570796)]</v>
      </c>
      <c r="O28" s="20"/>
    </row>
    <row r="29" spans="1:15" x14ac:dyDescent="0.3">
      <c r="A29">
        <v>-1</v>
      </c>
      <c r="B29">
        <v>1</v>
      </c>
      <c r="C29">
        <f t="shared" si="14"/>
        <v>1.4142135623730951</v>
      </c>
      <c r="D29" s="15">
        <f t="shared" si="15"/>
        <v>0.70710678118654746</v>
      </c>
      <c r="E29" s="21">
        <f t="shared" si="16"/>
        <v>-0.70710678118654746</v>
      </c>
      <c r="F29" s="19">
        <f t="shared" si="17"/>
        <v>-1</v>
      </c>
      <c r="G29" s="15">
        <f t="shared" si="18"/>
        <v>0.78539816339744828</v>
      </c>
      <c r="H29" s="16">
        <f t="shared" si="19"/>
        <v>2.3561944901923448</v>
      </c>
      <c r="I29" s="19">
        <f t="shared" si="20"/>
        <v>-0.78539816339744828</v>
      </c>
      <c r="J29" s="15">
        <f t="shared" si="21"/>
        <v>45</v>
      </c>
      <c r="K29" s="21">
        <f t="shared" si="22"/>
        <v>135</v>
      </c>
      <c r="L29" s="19">
        <f t="shared" si="23"/>
        <v>-45</v>
      </c>
      <c r="M29" t="str">
        <f t="shared" si="24"/>
        <v>[TestCase(0.707107,0.785398)]</v>
      </c>
      <c r="N29" t="str">
        <f t="shared" si="25"/>
        <v>[TestCase(-0.707107,2.356194)]</v>
      </c>
      <c r="O29" t="str">
        <f>"[TestCase("&amp;ROUND(F29,6)&amp;","&amp;ROUND(I29,6)&amp;")]"</f>
        <v>[TestCase(-1,-0.785398)]</v>
      </c>
    </row>
    <row r="30" spans="1:15" x14ac:dyDescent="0.3">
      <c r="A30">
        <v>-1</v>
      </c>
      <c r="B30">
        <v>0</v>
      </c>
      <c r="C30">
        <f t="shared" si="14"/>
        <v>1</v>
      </c>
      <c r="D30" s="15">
        <f t="shared" si="15"/>
        <v>0</v>
      </c>
      <c r="E30" s="21">
        <f t="shared" si="16"/>
        <v>-1</v>
      </c>
      <c r="F30" s="19">
        <f t="shared" si="17"/>
        <v>0</v>
      </c>
      <c r="G30" s="15">
        <f t="shared" si="18"/>
        <v>0</v>
      </c>
      <c r="H30" s="16">
        <f t="shared" si="19"/>
        <v>3.1415926535897931</v>
      </c>
      <c r="I30" s="19">
        <f t="shared" si="20"/>
        <v>0</v>
      </c>
      <c r="J30" s="15">
        <f t="shared" si="21"/>
        <v>0</v>
      </c>
      <c r="K30" s="21">
        <f t="shared" si="22"/>
        <v>180</v>
      </c>
      <c r="L30" s="19">
        <f t="shared" si="23"/>
        <v>0</v>
      </c>
      <c r="M30" t="str">
        <f t="shared" si="24"/>
        <v>[TestCase(0,0)]</v>
      </c>
      <c r="N30" t="str">
        <f t="shared" si="25"/>
        <v>[TestCase(-1,3.141593)]</v>
      </c>
      <c r="O30" t="str">
        <f>"[TestCase("&amp;ROUND(F30,6)&amp;","&amp;ROUND(I30,6)&amp;")]"</f>
        <v>[TestCase(0,0)]</v>
      </c>
    </row>
    <row r="31" spans="1:15" x14ac:dyDescent="0.3">
      <c r="A31">
        <v>-1</v>
      </c>
      <c r="B31">
        <v>-1</v>
      </c>
      <c r="C31">
        <f t="shared" si="14"/>
        <v>1.4142135623730951</v>
      </c>
      <c r="D31" s="15">
        <f t="shared" si="15"/>
        <v>-0.70710678118654746</v>
      </c>
      <c r="E31" s="21">
        <f t="shared" si="16"/>
        <v>-0.70710678118654746</v>
      </c>
      <c r="F31" s="19">
        <f t="shared" si="17"/>
        <v>1</v>
      </c>
      <c r="G31" s="15">
        <f t="shared" si="18"/>
        <v>-0.78539816339744828</v>
      </c>
      <c r="H31" s="16">
        <f t="shared" si="19"/>
        <v>2.3561944901923448</v>
      </c>
      <c r="I31" s="19">
        <f t="shared" si="20"/>
        <v>0.78539816339744828</v>
      </c>
      <c r="J31" s="15">
        <f t="shared" si="21"/>
        <v>-45</v>
      </c>
      <c r="K31" s="21">
        <f t="shared" si="22"/>
        <v>135</v>
      </c>
      <c r="L31" s="19">
        <f t="shared" si="23"/>
        <v>45</v>
      </c>
      <c r="M31" t="str">
        <f t="shared" si="24"/>
        <v>[TestCase(-0.707107,-0.785398)]</v>
      </c>
      <c r="N31" t="str">
        <f t="shared" si="25"/>
        <v>[TestCase(-0.707107,2.356194)]</v>
      </c>
      <c r="O31" t="str">
        <f>"[TestCase("&amp;ROUND(F31,6)&amp;","&amp;ROUND(I31,6)&amp;")]"</f>
        <v>[TestCase(1,0.785398)]</v>
      </c>
    </row>
    <row r="32" spans="1:15" x14ac:dyDescent="0.3">
      <c r="A32">
        <v>0</v>
      </c>
      <c r="B32">
        <v>-1</v>
      </c>
      <c r="C32">
        <f t="shared" si="14"/>
        <v>1</v>
      </c>
      <c r="D32" s="15">
        <f t="shared" si="15"/>
        <v>-1</v>
      </c>
      <c r="E32" s="21">
        <f t="shared" si="16"/>
        <v>0</v>
      </c>
      <c r="F32" s="19" t="e">
        <f t="shared" si="17"/>
        <v>#DIV/0!</v>
      </c>
      <c r="G32" s="15">
        <f t="shared" si="18"/>
        <v>-1.5707963267948966</v>
      </c>
      <c r="H32" s="16">
        <f t="shared" si="19"/>
        <v>1.5707963267948966</v>
      </c>
      <c r="I32" s="19" t="e">
        <f t="shared" si="20"/>
        <v>#DIV/0!</v>
      </c>
      <c r="J32" s="15">
        <f t="shared" si="21"/>
        <v>-90</v>
      </c>
      <c r="K32" s="21">
        <f t="shared" si="22"/>
        <v>90</v>
      </c>
      <c r="L32" s="19" t="e">
        <f t="shared" si="23"/>
        <v>#DIV/0!</v>
      </c>
      <c r="M32" t="str">
        <f t="shared" si="24"/>
        <v>[TestCase(-1,-1.570796)]</v>
      </c>
      <c r="N32" t="str">
        <f t="shared" si="25"/>
        <v>[TestCase(0,1.570796)]</v>
      </c>
      <c r="O32" s="20"/>
    </row>
    <row r="33" spans="1:15" x14ac:dyDescent="0.3">
      <c r="A33">
        <v>1</v>
      </c>
      <c r="B33">
        <v>-1</v>
      </c>
      <c r="C33">
        <f t="shared" si="14"/>
        <v>1.4142135623730951</v>
      </c>
      <c r="D33" s="15">
        <f t="shared" si="15"/>
        <v>-0.70710678118654746</v>
      </c>
      <c r="E33" s="21">
        <f t="shared" si="16"/>
        <v>0.70710678118654746</v>
      </c>
      <c r="F33" s="19">
        <f t="shared" si="17"/>
        <v>-1</v>
      </c>
      <c r="G33" s="15">
        <f t="shared" si="18"/>
        <v>-0.78539816339744828</v>
      </c>
      <c r="H33" s="16">
        <f t="shared" si="19"/>
        <v>0.78539816339744828</v>
      </c>
      <c r="I33" s="19">
        <f t="shared" si="20"/>
        <v>-0.78539816339744828</v>
      </c>
      <c r="J33" s="15">
        <f t="shared" si="21"/>
        <v>-45</v>
      </c>
      <c r="K33" s="21">
        <f t="shared" si="22"/>
        <v>45</v>
      </c>
      <c r="L33" s="19">
        <f t="shared" si="23"/>
        <v>-45</v>
      </c>
      <c r="M33" t="str">
        <f t="shared" si="24"/>
        <v>[TestCase(-0.707107,-0.785398)]</v>
      </c>
      <c r="N33" t="str">
        <f t="shared" si="25"/>
        <v>[TestCase(0.707107,0.785398)]</v>
      </c>
      <c r="O33" t="str">
        <f>"[TestCase("&amp;ROUND(F33,6)&amp;","&amp;ROUND(I33,6)&amp;")]"</f>
        <v>[TestCase(-1,-0.785398)]</v>
      </c>
    </row>
    <row r="34" spans="1:15" x14ac:dyDescent="0.3">
      <c r="A34">
        <v>2</v>
      </c>
      <c r="B34">
        <v>1</v>
      </c>
      <c r="C34">
        <f t="shared" si="14"/>
        <v>2.2360679774997898</v>
      </c>
      <c r="D34" s="15">
        <f t="shared" si="15"/>
        <v>0.44721359549995793</v>
      </c>
      <c r="E34" s="16">
        <f t="shared" si="16"/>
        <v>0.89442719099991586</v>
      </c>
      <c r="F34" s="19">
        <f t="shared" si="17"/>
        <v>0.5</v>
      </c>
      <c r="G34" s="15">
        <f t="shared" si="18"/>
        <v>0.46364760900080609</v>
      </c>
      <c r="H34" s="16">
        <f t="shared" si="19"/>
        <v>0.46364760900080615</v>
      </c>
      <c r="I34" s="19">
        <f t="shared" si="20"/>
        <v>0.46364760900080609</v>
      </c>
      <c r="J34" s="15">
        <f t="shared" si="21"/>
        <v>26.56505117707799</v>
      </c>
      <c r="K34" s="16">
        <f t="shared" si="22"/>
        <v>26.565051177077994</v>
      </c>
      <c r="L34" s="19">
        <f t="shared" si="23"/>
        <v>26.56505117707799</v>
      </c>
      <c r="M34" t="str">
        <f t="shared" si="24"/>
        <v>[TestCase(0.447214,0.463648)]</v>
      </c>
      <c r="N34" t="str">
        <f t="shared" si="25"/>
        <v>[TestCase(0.894427,0.463648)]</v>
      </c>
      <c r="O34" t="str">
        <f>"[TestCase("&amp;ROUND(F34,6)&amp;","&amp;ROUND(I34,6)&amp;")]"</f>
        <v>[TestCase(0.5,0.463648)]</v>
      </c>
    </row>
    <row r="35" spans="1:15" x14ac:dyDescent="0.3">
      <c r="A35">
        <v>1</v>
      </c>
      <c r="B35">
        <v>2</v>
      </c>
      <c r="C35">
        <f t="shared" si="14"/>
        <v>2.2360679774997898</v>
      </c>
      <c r="D35" s="15">
        <f t="shared" si="15"/>
        <v>0.89442719099991586</v>
      </c>
      <c r="E35" s="16">
        <f t="shared" si="16"/>
        <v>0.44721359549995793</v>
      </c>
      <c r="F35" s="19">
        <f t="shared" si="17"/>
        <v>2</v>
      </c>
      <c r="G35" s="15">
        <f t="shared" si="18"/>
        <v>1.1071487177940904</v>
      </c>
      <c r="H35" s="16">
        <f t="shared" si="19"/>
        <v>1.1071487177940904</v>
      </c>
      <c r="I35" s="19">
        <f t="shared" si="20"/>
        <v>1.1071487177940904</v>
      </c>
      <c r="J35" s="15">
        <f t="shared" si="21"/>
        <v>63.43494882292201</v>
      </c>
      <c r="K35" s="16">
        <f t="shared" si="22"/>
        <v>63.43494882292201</v>
      </c>
      <c r="L35" s="19">
        <f t="shared" si="23"/>
        <v>63.43494882292201</v>
      </c>
      <c r="M35" t="str">
        <f t="shared" si="24"/>
        <v>[TestCase(0.894427,1.107149)]</v>
      </c>
      <c r="N35" t="str">
        <f t="shared" si="25"/>
        <v>[TestCase(0.447214,1.107149)]</v>
      </c>
      <c r="O35" t="str">
        <f>"[TestCase("&amp;ROUND(F35,6)&amp;","&amp;ROUND(I35,6)&amp;")]"</f>
        <v>[TestCase(2,1.107149)]</v>
      </c>
    </row>
    <row r="36" spans="1:15" x14ac:dyDescent="0.3">
      <c r="H36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2FF0-D374-4E44-BAFE-C6C855E4487F}">
  <sheetPr codeName="Sheet5"/>
  <dimension ref="A1"/>
  <sheetViews>
    <sheetView workbookViewId="0">
      <selection activeCell="A23" sqref="A1:XFD23"/>
    </sheetView>
  </sheetViews>
  <sheetFormatPr defaultRowHeight="14.4" x14ac:dyDescent="0.3"/>
  <cols>
    <col min="5" max="5" width="11.21875" bestFit="1" customWidth="1"/>
    <col min="6" max="6" width="11.109375" bestFit="1" customWidth="1"/>
    <col min="9" max="9" width="11.21875" customWidth="1"/>
    <col min="10" max="11" width="11.44140625" customWidth="1"/>
    <col min="12" max="12" width="11.77734375" customWidth="1"/>
    <col min="16" max="16" width="11.109375" bestFit="1" customWidth="1"/>
    <col min="17" max="17" width="10.5546875" bestFit="1" customWidth="1"/>
  </cols>
  <sheetData/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B2C40-5C39-4337-BA16-2FE8050D6AEB}">
  <sheetPr codeName="Sheet6"/>
  <dimension ref="A1:P125"/>
  <sheetViews>
    <sheetView topLeftCell="A100" workbookViewId="0">
      <selection activeCell="H107" sqref="H107"/>
    </sheetView>
  </sheetViews>
  <sheetFormatPr defaultRowHeight="14.4" x14ac:dyDescent="0.3"/>
  <cols>
    <col min="1" max="1" width="11.88671875" customWidth="1"/>
    <col min="2" max="2" width="12.109375" bestFit="1" customWidth="1"/>
    <col min="3" max="3" width="12.21875" bestFit="1" customWidth="1"/>
    <col min="4" max="4" width="12.109375" bestFit="1" customWidth="1"/>
    <col min="5" max="5" width="10.6640625" bestFit="1" customWidth="1"/>
    <col min="6" max="6" width="14.6640625" bestFit="1" customWidth="1"/>
    <col min="7" max="7" width="13.33203125" customWidth="1"/>
    <col min="8" max="8" width="18.88671875" customWidth="1"/>
    <col min="11" max="11" width="10.88671875" customWidth="1"/>
    <col min="12" max="12" width="12.5546875" customWidth="1"/>
  </cols>
  <sheetData>
    <row r="1" spans="1:7" s="8" customFormat="1" x14ac:dyDescent="0.3">
      <c r="A1" s="8" t="s">
        <v>18</v>
      </c>
    </row>
    <row r="2" spans="1:7" s="6" customFormat="1" x14ac:dyDescent="0.3">
      <c r="A2" s="6" t="s">
        <v>16</v>
      </c>
      <c r="B2" s="6" t="s">
        <v>15</v>
      </c>
      <c r="C2" s="6" t="s">
        <v>14</v>
      </c>
      <c r="D2" s="6" t="s">
        <v>17</v>
      </c>
      <c r="E2" s="6" t="s">
        <v>19</v>
      </c>
    </row>
    <row r="3" spans="1:7" x14ac:dyDescent="0.3">
      <c r="A3">
        <v>0</v>
      </c>
      <c r="B3">
        <v>0</v>
      </c>
      <c r="C3">
        <v>0</v>
      </c>
      <c r="D3">
        <v>0</v>
      </c>
      <c r="E3">
        <f t="shared" ref="E3:E8" si="0">A3*C3+B3*D3</f>
        <v>0</v>
      </c>
      <c r="G3" t="str">
        <f>"[TestCase("&amp;A3&amp;", "&amp;B3&amp;", "&amp;C3&amp;", "&amp;D3&amp;", "&amp;E3&amp;")]"</f>
        <v>[TestCase(0, 0, 0, 0, 0)]</v>
      </c>
    </row>
    <row r="4" spans="1:7" x14ac:dyDescent="0.3">
      <c r="A4">
        <v>1</v>
      </c>
      <c r="B4">
        <v>0</v>
      </c>
      <c r="C4">
        <v>1</v>
      </c>
      <c r="D4">
        <v>0</v>
      </c>
      <c r="E4">
        <f t="shared" si="0"/>
        <v>1</v>
      </c>
      <c r="G4" t="str">
        <f t="shared" ref="G4:G8" si="1">"[TestCase("&amp;A4&amp;", "&amp;B4&amp;", "&amp;C4&amp;", "&amp;D4&amp;", "&amp;E4&amp;")]"</f>
        <v>[TestCase(1, 0, 1, 0, 1)]</v>
      </c>
    </row>
    <row r="5" spans="1:7" x14ac:dyDescent="0.3">
      <c r="A5">
        <v>1</v>
      </c>
      <c r="B5">
        <v>1</v>
      </c>
      <c r="C5">
        <v>1</v>
      </c>
      <c r="D5">
        <v>1</v>
      </c>
      <c r="E5">
        <f t="shared" si="0"/>
        <v>2</v>
      </c>
      <c r="G5" t="str">
        <f t="shared" si="1"/>
        <v>[TestCase(1, 1, 1, 1, 2)]</v>
      </c>
    </row>
    <row r="6" spans="1:7" x14ac:dyDescent="0.3">
      <c r="A6">
        <v>1</v>
      </c>
      <c r="B6">
        <v>2</v>
      </c>
      <c r="C6">
        <v>3</v>
      </c>
      <c r="D6">
        <v>4</v>
      </c>
      <c r="E6">
        <f t="shared" si="0"/>
        <v>11</v>
      </c>
      <c r="G6" t="str">
        <f t="shared" si="1"/>
        <v>[TestCase(1, 2, 3, 4, 11)]</v>
      </c>
    </row>
    <row r="7" spans="1:7" x14ac:dyDescent="0.3">
      <c r="A7">
        <v>-1</v>
      </c>
      <c r="B7">
        <v>-2</v>
      </c>
      <c r="C7">
        <v>-3</v>
      </c>
      <c r="D7">
        <v>-4</v>
      </c>
      <c r="E7">
        <f t="shared" si="0"/>
        <v>11</v>
      </c>
      <c r="G7" t="str">
        <f t="shared" si="1"/>
        <v>[TestCase(-1, -2, -3, -4, 11)]</v>
      </c>
    </row>
    <row r="8" spans="1:7" x14ac:dyDescent="0.3">
      <c r="A8">
        <v>1</v>
      </c>
      <c r="B8">
        <v>-2</v>
      </c>
      <c r="C8">
        <v>3</v>
      </c>
      <c r="D8">
        <v>4</v>
      </c>
      <c r="E8">
        <f t="shared" si="0"/>
        <v>-5</v>
      </c>
      <c r="G8" t="str">
        <f t="shared" si="1"/>
        <v>[TestCase(1, -2, 3, 4, -5)]</v>
      </c>
    </row>
    <row r="9" spans="1:7" x14ac:dyDescent="0.3">
      <c r="A9">
        <v>1.1000000000000001</v>
      </c>
      <c r="B9">
        <v>-2.2000000000000002</v>
      </c>
      <c r="C9">
        <v>3.3</v>
      </c>
      <c r="D9">
        <v>4.4000000000000004</v>
      </c>
      <c r="E9">
        <f t="shared" ref="E9" si="2">A9*C9+B9*D9</f>
        <v>-6.0500000000000016</v>
      </c>
      <c r="G9" t="str">
        <f t="shared" ref="G9" si="3">"[TestCase("&amp;A9&amp;", "&amp;B9&amp;", "&amp;C9&amp;", "&amp;D9&amp;", "&amp;E9&amp;")]"</f>
        <v>[TestCase(1.1, -2.2, 3.3, 4.4, -6.05)]</v>
      </c>
    </row>
    <row r="11" spans="1:7" s="2" customFormat="1" x14ac:dyDescent="0.3">
      <c r="A11" s="2" t="s">
        <v>20</v>
      </c>
    </row>
    <row r="12" spans="1:7" x14ac:dyDescent="0.3">
      <c r="A12" s="6" t="s">
        <v>16</v>
      </c>
      <c r="B12" s="6" t="s">
        <v>15</v>
      </c>
      <c r="C12" s="6" t="s">
        <v>14</v>
      </c>
      <c r="D12" s="6" t="s">
        <v>17</v>
      </c>
      <c r="E12" s="6" t="s">
        <v>19</v>
      </c>
    </row>
    <row r="13" spans="1:7" x14ac:dyDescent="0.3">
      <c r="A13">
        <v>0</v>
      </c>
      <c r="B13">
        <v>0</v>
      </c>
      <c r="C13">
        <v>0</v>
      </c>
      <c r="D13">
        <v>0</v>
      </c>
      <c r="E13">
        <f t="shared" ref="E13:E18" si="4">A13*D13-B13*C13</f>
        <v>0</v>
      </c>
      <c r="G13" t="str">
        <f>"[TestCase("&amp;A13&amp;", "&amp;B13&amp;", "&amp;C13&amp;", "&amp;D13&amp;", "&amp;E13&amp;")]"</f>
        <v>[TestCase(0, 0, 0, 0, 0)]</v>
      </c>
    </row>
    <row r="14" spans="1:7" x14ac:dyDescent="0.3">
      <c r="A14">
        <v>1</v>
      </c>
      <c r="B14">
        <v>0</v>
      </c>
      <c r="C14">
        <v>1</v>
      </c>
      <c r="D14">
        <v>0</v>
      </c>
      <c r="E14">
        <f t="shared" si="4"/>
        <v>0</v>
      </c>
      <c r="G14" t="str">
        <f t="shared" ref="G14:G18" si="5">"[TestCase("&amp;A14&amp;", "&amp;B14&amp;", "&amp;C14&amp;", "&amp;D14&amp;", "&amp;E14&amp;")]"</f>
        <v>[TestCase(1, 0, 1, 0, 0)]</v>
      </c>
    </row>
    <row r="15" spans="1:7" x14ac:dyDescent="0.3">
      <c r="A15">
        <v>1</v>
      </c>
      <c r="B15">
        <v>1</v>
      </c>
      <c r="C15">
        <v>1</v>
      </c>
      <c r="D15">
        <v>1</v>
      </c>
      <c r="E15">
        <f t="shared" si="4"/>
        <v>0</v>
      </c>
      <c r="G15" t="str">
        <f t="shared" si="5"/>
        <v>[TestCase(1, 1, 1, 1, 0)]</v>
      </c>
    </row>
    <row r="16" spans="1:7" x14ac:dyDescent="0.3">
      <c r="A16">
        <v>1</v>
      </c>
      <c r="B16">
        <v>2</v>
      </c>
      <c r="C16">
        <v>3</v>
      </c>
      <c r="D16">
        <v>4</v>
      </c>
      <c r="E16">
        <f t="shared" si="4"/>
        <v>-2</v>
      </c>
      <c r="G16" t="str">
        <f t="shared" si="5"/>
        <v>[TestCase(1, 2, 3, 4, -2)]</v>
      </c>
    </row>
    <row r="17" spans="1:11" x14ac:dyDescent="0.3">
      <c r="A17">
        <v>-1</v>
      </c>
      <c r="B17">
        <v>-2</v>
      </c>
      <c r="C17">
        <v>-3</v>
      </c>
      <c r="D17">
        <v>-4</v>
      </c>
      <c r="E17">
        <f t="shared" si="4"/>
        <v>-2</v>
      </c>
      <c r="G17" t="str">
        <f t="shared" si="5"/>
        <v>[TestCase(-1, -2, -3, -4, -2)]</v>
      </c>
    </row>
    <row r="18" spans="1:11" x14ac:dyDescent="0.3">
      <c r="A18">
        <v>1</v>
      </c>
      <c r="B18">
        <v>-2</v>
      </c>
      <c r="C18">
        <v>3</v>
      </c>
      <c r="D18">
        <v>4</v>
      </c>
      <c r="E18">
        <f t="shared" si="4"/>
        <v>10</v>
      </c>
      <c r="G18" t="str">
        <f t="shared" si="5"/>
        <v>[TestCase(1, -2, 3, 4, 10)]</v>
      </c>
    </row>
    <row r="19" spans="1:11" x14ac:dyDescent="0.3">
      <c r="A19">
        <v>1.1000000000000001</v>
      </c>
      <c r="B19">
        <v>-2.2000000000000002</v>
      </c>
      <c r="C19">
        <v>3.3</v>
      </c>
      <c r="D19">
        <v>4.4000000000000004</v>
      </c>
      <c r="E19">
        <f t="shared" ref="E19" si="6">A19*D19-B19*C19</f>
        <v>12.100000000000001</v>
      </c>
      <c r="G19" t="str">
        <f t="shared" ref="G19" si="7">"[TestCase("&amp;A19&amp;", "&amp;B19&amp;", "&amp;C19&amp;", "&amp;D19&amp;", "&amp;E19&amp;")]"</f>
        <v>[TestCase(1.1, -2.2, 3.3, 4.4, 12.1)]</v>
      </c>
    </row>
    <row r="21" spans="1:11" s="8" customFormat="1" x14ac:dyDescent="0.3">
      <c r="A21" s="8" t="s">
        <v>28</v>
      </c>
    </row>
    <row r="22" spans="1:11" s="6" customFormat="1" x14ac:dyDescent="0.3">
      <c r="A22" s="6" t="s">
        <v>16</v>
      </c>
      <c r="B22" s="6" t="s">
        <v>15</v>
      </c>
      <c r="C22" s="6" t="s">
        <v>30</v>
      </c>
      <c r="D22" s="6" t="s">
        <v>14</v>
      </c>
      <c r="E22" s="6" t="s">
        <v>17</v>
      </c>
      <c r="F22" s="6" t="s">
        <v>31</v>
      </c>
      <c r="G22" s="6" t="s">
        <v>19</v>
      </c>
    </row>
    <row r="23" spans="1:1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f t="shared" ref="G23:G28" si="8">A23*D23+B23*E23+C23*F23</f>
        <v>0</v>
      </c>
      <c r="K23" t="str">
        <f>"[TestCase("&amp;A23&amp;", "&amp;B23&amp;", "&amp;C23&amp;", "&amp;D23&amp;", "&amp;E23&amp;", "&amp;F23&amp;", "&amp;G23&amp;")]"</f>
        <v>[TestCase(0, 0, 0, 0, 0, 0, 0)]</v>
      </c>
    </row>
    <row r="24" spans="1:11" x14ac:dyDescent="0.3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f t="shared" si="8"/>
        <v>32</v>
      </c>
      <c r="K24" t="str">
        <f t="shared" ref="K24:K28" si="9">"[TestCase("&amp;A24&amp;", "&amp;B24&amp;", "&amp;C24&amp;", "&amp;D24&amp;", "&amp;E24&amp;", "&amp;F24&amp;", "&amp;G24&amp;")]"</f>
        <v>[TestCase(1, 2, 3, 4, 5, 6, 32)]</v>
      </c>
    </row>
    <row r="25" spans="1:11" x14ac:dyDescent="0.3">
      <c r="A25">
        <v>1</v>
      </c>
      <c r="B25">
        <v>2</v>
      </c>
      <c r="C25">
        <v>3</v>
      </c>
      <c r="D25">
        <v>-4</v>
      </c>
      <c r="E25">
        <v>-5</v>
      </c>
      <c r="F25">
        <v>-6</v>
      </c>
      <c r="G25">
        <f t="shared" si="8"/>
        <v>-32</v>
      </c>
      <c r="K25" t="str">
        <f t="shared" si="9"/>
        <v>[TestCase(1, 2, 3, -4, -5, -6, -32)]</v>
      </c>
    </row>
    <row r="26" spans="1:11" x14ac:dyDescent="0.3">
      <c r="A26">
        <v>-1</v>
      </c>
      <c r="B26">
        <v>-2</v>
      </c>
      <c r="C26">
        <v>-3</v>
      </c>
      <c r="D26">
        <v>4</v>
      </c>
      <c r="E26">
        <v>5</v>
      </c>
      <c r="F26">
        <v>6</v>
      </c>
      <c r="G26">
        <f t="shared" si="8"/>
        <v>-32</v>
      </c>
      <c r="K26" t="str">
        <f t="shared" si="9"/>
        <v>[TestCase(-1, -2, -3, 4, 5, 6, -32)]</v>
      </c>
    </row>
    <row r="27" spans="1:11" x14ac:dyDescent="0.3">
      <c r="A27">
        <v>-1</v>
      </c>
      <c r="B27">
        <v>-2</v>
      </c>
      <c r="C27">
        <v>-3</v>
      </c>
      <c r="D27">
        <v>-4</v>
      </c>
      <c r="E27">
        <v>-5</v>
      </c>
      <c r="F27">
        <v>-6</v>
      </c>
      <c r="G27">
        <f t="shared" si="8"/>
        <v>32</v>
      </c>
      <c r="K27" t="str">
        <f t="shared" si="9"/>
        <v>[TestCase(-1, -2, -3, -4, -5, -6, 32)]</v>
      </c>
    </row>
    <row r="28" spans="1:11" x14ac:dyDescent="0.3">
      <c r="A28">
        <v>-1.1000000000000001</v>
      </c>
      <c r="B28">
        <v>-2.2000000000000002</v>
      </c>
      <c r="C28">
        <v>-3.3</v>
      </c>
      <c r="D28">
        <v>-4.4000000000000004</v>
      </c>
      <c r="E28">
        <v>-5.5</v>
      </c>
      <c r="F28">
        <v>-6.6</v>
      </c>
      <c r="G28">
        <f t="shared" si="8"/>
        <v>38.72</v>
      </c>
      <c r="K28" t="str">
        <f t="shared" si="9"/>
        <v>[TestCase(-1.1, -2.2, -3.3, -4.4, -5.5, -6.6, 38.72)]</v>
      </c>
    </row>
    <row r="30" spans="1:11" s="2" customFormat="1" x14ac:dyDescent="0.3">
      <c r="A30" s="2" t="s">
        <v>29</v>
      </c>
    </row>
    <row r="31" spans="1:11" x14ac:dyDescent="0.3">
      <c r="A31" s="6" t="s">
        <v>16</v>
      </c>
      <c r="B31" s="6" t="s">
        <v>15</v>
      </c>
      <c r="C31" s="6" t="s">
        <v>30</v>
      </c>
      <c r="D31" s="6" t="s">
        <v>14</v>
      </c>
      <c r="E31" s="6" t="s">
        <v>17</v>
      </c>
      <c r="F31" s="6" t="s">
        <v>31</v>
      </c>
      <c r="G31" s="6" t="s">
        <v>56</v>
      </c>
      <c r="H31" s="6" t="s">
        <v>57</v>
      </c>
      <c r="I31" s="6" t="s">
        <v>58</v>
      </c>
    </row>
    <row r="32" spans="1:1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f>B32*F32-C32*E32</f>
        <v>0</v>
      </c>
      <c r="H32">
        <f>C32*D32-A32*F32</f>
        <v>0</v>
      </c>
      <c r="I32">
        <f>A32*E32-B32*D32</f>
        <v>0</v>
      </c>
      <c r="K32" t="str">
        <f>"[TestCase("&amp;A32&amp;", "&amp;B32&amp;", "&amp;C32&amp;", "&amp;D32&amp;", "&amp;E32&amp;", "&amp;F32&amp;", "&amp;G32&amp;", "&amp;H32&amp;", "&amp;I32&amp;")]"</f>
        <v>[TestCase(0, 0, 0, 0, 0, 0, 0, 0, 0)]</v>
      </c>
    </row>
    <row r="33" spans="1:13" x14ac:dyDescent="0.3">
      <c r="A33">
        <v>7</v>
      </c>
      <c r="B33">
        <v>2</v>
      </c>
      <c r="C33">
        <v>3</v>
      </c>
      <c r="D33">
        <v>4</v>
      </c>
      <c r="E33">
        <v>5</v>
      </c>
      <c r="F33">
        <v>6</v>
      </c>
      <c r="G33">
        <f>B33*F33-C33*E33</f>
        <v>-3</v>
      </c>
      <c r="H33">
        <f t="shared" ref="H33:H39" si="10">C33*D33-A33*F33</f>
        <v>-30</v>
      </c>
      <c r="I33">
        <f>A33*E33-B33*D33</f>
        <v>27</v>
      </c>
      <c r="K33" t="str">
        <f t="shared" ref="K33:K39" si="11">"[TestCase("&amp;A33&amp;", "&amp;B33&amp;", "&amp;C33&amp;", "&amp;D33&amp;", "&amp;E33&amp;", "&amp;F33&amp;", "&amp;G33&amp;", "&amp;H33&amp;", "&amp;I33&amp;")]"</f>
        <v>[TestCase(7, 2, 3, 4, 5, 6, -3, -30, 27)]</v>
      </c>
    </row>
    <row r="34" spans="1:13" x14ac:dyDescent="0.3">
      <c r="A34">
        <v>7</v>
      </c>
      <c r="B34">
        <v>2</v>
      </c>
      <c r="C34">
        <v>3</v>
      </c>
      <c r="D34">
        <v>-4</v>
      </c>
      <c r="E34">
        <v>-5</v>
      </c>
      <c r="F34">
        <v>-6</v>
      </c>
      <c r="G34">
        <f t="shared" ref="G34:G39" si="12">B34*F34-C34*E34</f>
        <v>3</v>
      </c>
      <c r="H34">
        <f t="shared" si="10"/>
        <v>30</v>
      </c>
      <c r="I34">
        <f t="shared" ref="I34:I39" si="13">A34*E34-B34*D34</f>
        <v>-27</v>
      </c>
      <c r="K34" t="str">
        <f t="shared" si="11"/>
        <v>[TestCase(7, 2, 3, -4, -5, -6, 3, 30, -27)]</v>
      </c>
    </row>
    <row r="35" spans="1:13" x14ac:dyDescent="0.3">
      <c r="A35">
        <v>-7</v>
      </c>
      <c r="B35">
        <v>-2</v>
      </c>
      <c r="C35">
        <v>-3</v>
      </c>
      <c r="D35">
        <v>4</v>
      </c>
      <c r="E35">
        <v>5</v>
      </c>
      <c r="F35">
        <v>6</v>
      </c>
      <c r="G35">
        <f t="shared" si="12"/>
        <v>3</v>
      </c>
      <c r="H35">
        <f t="shared" si="10"/>
        <v>30</v>
      </c>
      <c r="I35">
        <f t="shared" si="13"/>
        <v>-27</v>
      </c>
      <c r="K35" t="str">
        <f t="shared" si="11"/>
        <v>[TestCase(-7, -2, -3, 4, 5, 6, 3, 30, -27)]</v>
      </c>
    </row>
    <row r="36" spans="1:13" x14ac:dyDescent="0.3">
      <c r="A36">
        <v>-7</v>
      </c>
      <c r="B36">
        <v>-2</v>
      </c>
      <c r="C36">
        <v>-3</v>
      </c>
      <c r="D36">
        <v>-4</v>
      </c>
      <c r="E36">
        <v>-5</v>
      </c>
      <c r="F36">
        <v>-6</v>
      </c>
      <c r="G36">
        <f t="shared" si="12"/>
        <v>-3</v>
      </c>
      <c r="H36">
        <f t="shared" si="10"/>
        <v>-30</v>
      </c>
      <c r="I36">
        <f t="shared" si="13"/>
        <v>27</v>
      </c>
      <c r="K36" t="str">
        <f t="shared" si="11"/>
        <v>[TestCase(-7, -2, -3, -4, -5, -6, -3, -30, 27)]</v>
      </c>
    </row>
    <row r="37" spans="1:13" x14ac:dyDescent="0.3">
      <c r="A37">
        <v>-7</v>
      </c>
      <c r="B37">
        <v>2</v>
      </c>
      <c r="C37">
        <v>-3</v>
      </c>
      <c r="D37">
        <v>4</v>
      </c>
      <c r="E37">
        <v>-5</v>
      </c>
      <c r="F37">
        <v>6</v>
      </c>
      <c r="G37">
        <f t="shared" si="12"/>
        <v>-3</v>
      </c>
      <c r="H37">
        <f t="shared" si="10"/>
        <v>30</v>
      </c>
      <c r="I37">
        <f t="shared" si="13"/>
        <v>27</v>
      </c>
      <c r="K37" t="str">
        <f t="shared" si="11"/>
        <v>[TestCase(-7, 2, -3, 4, -5, 6, -3, 30, 27)]</v>
      </c>
    </row>
    <row r="38" spans="1:13" x14ac:dyDescent="0.3">
      <c r="A38">
        <v>7</v>
      </c>
      <c r="B38">
        <v>-2</v>
      </c>
      <c r="C38">
        <v>3</v>
      </c>
      <c r="D38">
        <v>-4</v>
      </c>
      <c r="E38">
        <v>5</v>
      </c>
      <c r="F38">
        <v>-6</v>
      </c>
      <c r="G38">
        <f t="shared" si="12"/>
        <v>-3</v>
      </c>
      <c r="H38">
        <f t="shared" si="10"/>
        <v>30</v>
      </c>
      <c r="I38">
        <f t="shared" si="13"/>
        <v>27</v>
      </c>
      <c r="K38" t="str">
        <f t="shared" si="11"/>
        <v>[TestCase(7, -2, 3, -4, 5, -6, -3, 30, 27)]</v>
      </c>
    </row>
    <row r="39" spans="1:13" x14ac:dyDescent="0.3">
      <c r="A39">
        <v>7.7</v>
      </c>
      <c r="B39">
        <v>-2.2000000000000002</v>
      </c>
      <c r="C39">
        <v>3.3</v>
      </c>
      <c r="D39">
        <v>-4.4000000000000004</v>
      </c>
      <c r="E39">
        <v>5.5</v>
      </c>
      <c r="F39">
        <v>-6.6</v>
      </c>
      <c r="G39">
        <f t="shared" si="12"/>
        <v>-3.629999999999999</v>
      </c>
      <c r="H39">
        <f t="shared" si="10"/>
        <v>36.299999999999997</v>
      </c>
      <c r="I39">
        <f t="shared" si="13"/>
        <v>32.67</v>
      </c>
      <c r="K39" t="str">
        <f t="shared" si="11"/>
        <v>[TestCase(7.7, -2.2, 3.3, -4.4, 5.5, -6.6, -3.63, 36.3, 32.67)]</v>
      </c>
    </row>
    <row r="41" spans="1:13" s="2" customFormat="1" x14ac:dyDescent="0.3">
      <c r="A41" s="2" t="s">
        <v>99</v>
      </c>
    </row>
    <row r="42" spans="1:13" x14ac:dyDescent="0.3">
      <c r="A42" s="6" t="s">
        <v>95</v>
      </c>
      <c r="B42" s="6" t="s">
        <v>97</v>
      </c>
      <c r="C42" s="6" t="s">
        <v>96</v>
      </c>
      <c r="D42" s="6" t="s">
        <v>98</v>
      </c>
      <c r="E42" s="6" t="s">
        <v>100</v>
      </c>
      <c r="F42" s="6" t="s">
        <v>101</v>
      </c>
      <c r="G42" s="6" t="s">
        <v>102</v>
      </c>
      <c r="H42" s="6" t="s">
        <v>19</v>
      </c>
      <c r="I42" s="6" t="s">
        <v>108</v>
      </c>
    </row>
    <row r="43" spans="1:13" x14ac:dyDescent="0.3">
      <c r="A43">
        <v>0</v>
      </c>
      <c r="B43">
        <v>0</v>
      </c>
      <c r="C43">
        <v>0</v>
      </c>
      <c r="D43">
        <v>0</v>
      </c>
      <c r="E43">
        <f t="shared" ref="E43" si="14">A43*C43+B43*D43</f>
        <v>0</v>
      </c>
      <c r="F43">
        <f>SQRT(A43^2+B43^2)</f>
        <v>0</v>
      </c>
      <c r="G43">
        <f>SQRT(C43^2+D43^2)</f>
        <v>0</v>
      </c>
      <c r="H43" t="e">
        <f>E43/(F43*G43)</f>
        <v>#DIV/0!</v>
      </c>
    </row>
    <row r="44" spans="1:13" x14ac:dyDescent="0.3">
      <c r="A44">
        <v>0</v>
      </c>
      <c r="B44">
        <v>0</v>
      </c>
      <c r="C44">
        <v>2</v>
      </c>
      <c r="D44">
        <v>3</v>
      </c>
      <c r="E44">
        <f t="shared" ref="E44:E45" si="15">A44*C44+B44*D44</f>
        <v>0</v>
      </c>
      <c r="F44">
        <f t="shared" ref="F44:F45" si="16">SQRT(A44^2+B44^2)</f>
        <v>0</v>
      </c>
      <c r="G44">
        <f t="shared" ref="G44:G45" si="17">SQRT(C44^2+D44^2)</f>
        <v>3.6055512754639891</v>
      </c>
      <c r="H44" t="e">
        <f>E44/(F44*G44)</f>
        <v>#DIV/0!</v>
      </c>
    </row>
    <row r="45" spans="1:13" x14ac:dyDescent="0.3">
      <c r="A45">
        <v>2</v>
      </c>
      <c r="B45">
        <v>3</v>
      </c>
      <c r="C45">
        <v>0</v>
      </c>
      <c r="D45">
        <v>0</v>
      </c>
      <c r="E45">
        <f t="shared" si="15"/>
        <v>0</v>
      </c>
      <c r="F45">
        <f t="shared" si="16"/>
        <v>3.6055512754639891</v>
      </c>
      <c r="G45">
        <f t="shared" si="17"/>
        <v>0</v>
      </c>
      <c r="H45" t="e">
        <f t="shared" ref="H45" si="18">E45/(F45*G45)</f>
        <v>#DIV/0!</v>
      </c>
    </row>
    <row r="46" spans="1:13" x14ac:dyDescent="0.3">
      <c r="A46">
        <v>1</v>
      </c>
      <c r="B46">
        <v>0</v>
      </c>
      <c r="C46">
        <v>2</v>
      </c>
      <c r="D46">
        <v>0</v>
      </c>
      <c r="E46">
        <f t="shared" ref="E46" si="19">A46*C46+B46*D46</f>
        <v>2</v>
      </c>
      <c r="F46">
        <f>SQRT(A46^2+B46^2)</f>
        <v>1</v>
      </c>
      <c r="G46">
        <f>SQRT(C46^2+D46^2)</f>
        <v>2</v>
      </c>
      <c r="H46">
        <f>E46/(F46*G46)</f>
        <v>1</v>
      </c>
      <c r="I46">
        <v>1</v>
      </c>
      <c r="J46" t="s">
        <v>9</v>
      </c>
      <c r="K46" t="s">
        <v>103</v>
      </c>
      <c r="M46" t="str">
        <f>"[TestCase("&amp;A46&amp;", "&amp;B46&amp;", "&amp;C46&amp;", "&amp;D46&amp;", "&amp;H46&amp;")]  // "&amp;J46&amp;" "&amp;K46</f>
        <v>[TestCase(1, 0, 2, 0, 1)]  // X Pointing Same Way</v>
      </c>
    </row>
    <row r="47" spans="1:13" x14ac:dyDescent="0.3">
      <c r="A47">
        <v>0</v>
      </c>
      <c r="B47">
        <v>1</v>
      </c>
      <c r="C47">
        <v>0</v>
      </c>
      <c r="D47">
        <v>2</v>
      </c>
      <c r="E47">
        <f t="shared" ref="E47:E49" si="20">A47*C47+B47*D47</f>
        <v>2</v>
      </c>
      <c r="F47">
        <f t="shared" ref="F47:F49" si="21">SQRT(A47^2+B47^2)</f>
        <v>1</v>
      </c>
      <c r="G47">
        <f t="shared" ref="G47:G49" si="22">SQRT(C47^2+D47^2)</f>
        <v>2</v>
      </c>
      <c r="H47">
        <f t="shared" ref="H47:H49" si="23">E47/(F47*G47)</f>
        <v>1</v>
      </c>
      <c r="J47" t="s">
        <v>10</v>
      </c>
      <c r="K47" t="s">
        <v>103</v>
      </c>
      <c r="M47" t="str">
        <f t="shared" ref="M47:M61" si="24">"[TestCase("&amp;A47&amp;", "&amp;B47&amp;", "&amp;C47&amp;", "&amp;D47&amp;", "&amp;H47&amp;")]  // "&amp;J47&amp;" "&amp;K47</f>
        <v>[TestCase(0, 1, 0, 2, 1)]  // Y Pointing Same Way</v>
      </c>
    </row>
    <row r="48" spans="1:13" x14ac:dyDescent="0.3">
      <c r="A48">
        <v>1</v>
      </c>
      <c r="B48">
        <v>2</v>
      </c>
      <c r="C48">
        <v>2</v>
      </c>
      <c r="D48">
        <v>4</v>
      </c>
      <c r="E48">
        <f t="shared" si="20"/>
        <v>10</v>
      </c>
      <c r="F48">
        <f t="shared" si="21"/>
        <v>2.2360679774997898</v>
      </c>
      <c r="G48">
        <f t="shared" si="22"/>
        <v>4.4721359549995796</v>
      </c>
      <c r="H48">
        <f t="shared" si="23"/>
        <v>0.99999999999999978</v>
      </c>
      <c r="J48" t="s">
        <v>111</v>
      </c>
      <c r="K48" t="s">
        <v>103</v>
      </c>
      <c r="M48" t="str">
        <f t="shared" si="24"/>
        <v>[TestCase(1, 2, 2, 4, 1)]  // Sloped Pointing Same Way</v>
      </c>
    </row>
    <row r="49" spans="1:13" x14ac:dyDescent="0.3">
      <c r="A49">
        <v>1.1000000000000001</v>
      </c>
      <c r="B49">
        <v>2.2000000000000002</v>
      </c>
      <c r="C49">
        <v>2.1</v>
      </c>
      <c r="D49">
        <v>4.2</v>
      </c>
      <c r="E49">
        <f t="shared" si="20"/>
        <v>11.550000000000002</v>
      </c>
      <c r="F49">
        <f t="shared" si="21"/>
        <v>2.459674775249769</v>
      </c>
      <c r="G49">
        <f t="shared" si="22"/>
        <v>4.6957427527495588</v>
      </c>
      <c r="H49">
        <f t="shared" si="23"/>
        <v>1</v>
      </c>
      <c r="J49" t="s">
        <v>111</v>
      </c>
      <c r="K49" t="s">
        <v>103</v>
      </c>
      <c r="M49" t="str">
        <f t="shared" si="24"/>
        <v>[TestCase(1.1, 2.2, 2.1, 4.2, 1)]  // Sloped Pointing Same Way</v>
      </c>
    </row>
    <row r="50" spans="1:13" x14ac:dyDescent="0.3">
      <c r="A50">
        <v>2</v>
      </c>
      <c r="B50">
        <v>1</v>
      </c>
      <c r="C50">
        <v>1</v>
      </c>
      <c r="D50">
        <v>2</v>
      </c>
      <c r="E50">
        <f t="shared" ref="E50:E61" si="25">A50*C50+B50*D50</f>
        <v>4</v>
      </c>
      <c r="F50">
        <f t="shared" ref="F50:F58" si="26">SQRT(A50^2+B50^2)</f>
        <v>2.2360679774997898</v>
      </c>
      <c r="G50">
        <f t="shared" ref="G50:G58" si="27">SQRT(C50^2+D50^2)</f>
        <v>2.2360679774997898</v>
      </c>
      <c r="H50">
        <f t="shared" ref="H50:H58" si="28">E50/(F50*G50)</f>
        <v>0.79999999999999982</v>
      </c>
      <c r="I50" t="s">
        <v>109</v>
      </c>
      <c r="K50" t="s">
        <v>104</v>
      </c>
      <c r="M50" t="str">
        <f t="shared" si="24"/>
        <v>[TestCase(2, 1, 1, 2, 0.8)]  //  Concave</v>
      </c>
    </row>
    <row r="51" spans="1:13" x14ac:dyDescent="0.3">
      <c r="A51">
        <v>1</v>
      </c>
      <c r="B51">
        <v>0</v>
      </c>
      <c r="C51">
        <v>0</v>
      </c>
      <c r="D51">
        <v>1</v>
      </c>
      <c r="E51">
        <f t="shared" si="25"/>
        <v>0</v>
      </c>
      <c r="F51">
        <f t="shared" si="26"/>
        <v>1</v>
      </c>
      <c r="G51">
        <f t="shared" si="27"/>
        <v>1</v>
      </c>
      <c r="H51">
        <f t="shared" si="28"/>
        <v>0</v>
      </c>
      <c r="I51">
        <v>0</v>
      </c>
      <c r="J51" t="s">
        <v>112</v>
      </c>
      <c r="K51" t="s">
        <v>105</v>
      </c>
      <c r="M51" t="str">
        <f t="shared" si="24"/>
        <v>[TestCase(1, 0, 0, 1, 0)]  // Quad1 Orthogonal</v>
      </c>
    </row>
    <row r="52" spans="1:13" x14ac:dyDescent="0.3">
      <c r="A52">
        <v>0</v>
      </c>
      <c r="B52">
        <v>1</v>
      </c>
      <c r="C52">
        <v>-1</v>
      </c>
      <c r="D52">
        <v>0</v>
      </c>
      <c r="E52">
        <f t="shared" ref="E52:E54" si="29">A52*C52+B52*D52</f>
        <v>0</v>
      </c>
      <c r="F52">
        <f t="shared" si="26"/>
        <v>1</v>
      </c>
      <c r="G52">
        <f t="shared" si="27"/>
        <v>1</v>
      </c>
      <c r="H52">
        <f t="shared" si="28"/>
        <v>0</v>
      </c>
      <c r="J52" t="s">
        <v>113</v>
      </c>
      <c r="K52" t="s">
        <v>105</v>
      </c>
      <c r="M52" t="str">
        <f t="shared" si="24"/>
        <v>[TestCase(0, 1, -1, 0, 0)]  // Quad2 Orthogonal</v>
      </c>
    </row>
    <row r="53" spans="1:13" x14ac:dyDescent="0.3">
      <c r="A53">
        <v>-1</v>
      </c>
      <c r="B53">
        <v>0</v>
      </c>
      <c r="C53">
        <v>0</v>
      </c>
      <c r="D53">
        <v>-1</v>
      </c>
      <c r="E53">
        <f t="shared" si="29"/>
        <v>0</v>
      </c>
      <c r="F53">
        <f t="shared" si="26"/>
        <v>1</v>
      </c>
      <c r="G53">
        <f t="shared" si="27"/>
        <v>1</v>
      </c>
      <c r="H53">
        <f t="shared" si="28"/>
        <v>0</v>
      </c>
      <c r="J53" t="s">
        <v>114</v>
      </c>
      <c r="K53" t="s">
        <v>105</v>
      </c>
      <c r="M53" t="str">
        <f t="shared" si="24"/>
        <v>[TestCase(-1, 0, 0, -1, 0)]  // Quad3 Orthogonal</v>
      </c>
    </row>
    <row r="54" spans="1:13" x14ac:dyDescent="0.3">
      <c r="A54">
        <v>0</v>
      </c>
      <c r="B54">
        <v>-1</v>
      </c>
      <c r="C54">
        <v>1</v>
      </c>
      <c r="D54">
        <v>0</v>
      </c>
      <c r="E54">
        <f t="shared" si="29"/>
        <v>0</v>
      </c>
      <c r="F54">
        <f t="shared" si="26"/>
        <v>1</v>
      </c>
      <c r="G54">
        <f t="shared" si="27"/>
        <v>1</v>
      </c>
      <c r="H54">
        <f t="shared" si="28"/>
        <v>0</v>
      </c>
      <c r="J54" t="s">
        <v>115</v>
      </c>
      <c r="K54" t="s">
        <v>105</v>
      </c>
      <c r="M54" t="str">
        <f t="shared" si="24"/>
        <v>[TestCase(0, -1, 1, 0, 0)]  // Quad4 Orthogonal</v>
      </c>
    </row>
    <row r="55" spans="1:13" x14ac:dyDescent="0.3">
      <c r="A55">
        <v>1</v>
      </c>
      <c r="B55">
        <v>0</v>
      </c>
      <c r="C55">
        <v>0</v>
      </c>
      <c r="D55">
        <v>-1</v>
      </c>
      <c r="E55">
        <f t="shared" ref="E55" si="30">A55*C55+B55*D55</f>
        <v>0</v>
      </c>
      <c r="F55">
        <f t="shared" si="26"/>
        <v>1</v>
      </c>
      <c r="G55">
        <f t="shared" si="27"/>
        <v>1</v>
      </c>
      <c r="H55">
        <f t="shared" si="28"/>
        <v>0</v>
      </c>
      <c r="J55" t="s">
        <v>117</v>
      </c>
      <c r="K55" t="s">
        <v>105</v>
      </c>
      <c r="M55" t="str">
        <f t="shared" si="24"/>
        <v>[TestCase(1, 0, 0, -1, 0)]  // Mirrored Axis Orthogonal</v>
      </c>
    </row>
    <row r="56" spans="1:13" x14ac:dyDescent="0.3">
      <c r="A56">
        <v>1</v>
      </c>
      <c r="B56">
        <v>2</v>
      </c>
      <c r="C56">
        <v>-2</v>
      </c>
      <c r="D56">
        <v>1</v>
      </c>
      <c r="E56">
        <f t="shared" ref="E56" si="31">A56*C56+B56*D56</f>
        <v>0</v>
      </c>
      <c r="F56">
        <f t="shared" si="26"/>
        <v>2.2360679774997898</v>
      </c>
      <c r="G56">
        <f t="shared" si="27"/>
        <v>2.2360679774997898</v>
      </c>
      <c r="H56">
        <f t="shared" si="28"/>
        <v>0</v>
      </c>
      <c r="J56" t="s">
        <v>116</v>
      </c>
      <c r="K56" t="s">
        <v>105</v>
      </c>
      <c r="M56" t="str">
        <f t="shared" si="24"/>
        <v>[TestCase(1, 2, -2, 1, 0)]  // Rotated 45 deg Orthogonal</v>
      </c>
    </row>
    <row r="57" spans="1:13" x14ac:dyDescent="0.3">
      <c r="A57">
        <v>-2</v>
      </c>
      <c r="B57">
        <v>1</v>
      </c>
      <c r="C57">
        <v>1</v>
      </c>
      <c r="D57">
        <v>-2</v>
      </c>
      <c r="E57">
        <f t="shared" si="25"/>
        <v>-4</v>
      </c>
      <c r="F57">
        <f t="shared" si="26"/>
        <v>2.2360679774997898</v>
      </c>
      <c r="G57">
        <f t="shared" si="27"/>
        <v>2.2360679774997898</v>
      </c>
      <c r="H57">
        <f t="shared" si="28"/>
        <v>-0.79999999999999982</v>
      </c>
      <c r="I57" t="s">
        <v>110</v>
      </c>
      <c r="K57" t="s">
        <v>106</v>
      </c>
      <c r="M57" t="str">
        <f t="shared" si="24"/>
        <v>[TestCase(-2, 1, 1, -2, -0.8)]  //  Convex</v>
      </c>
    </row>
    <row r="58" spans="1:13" x14ac:dyDescent="0.3">
      <c r="A58">
        <v>1</v>
      </c>
      <c r="B58">
        <v>0</v>
      </c>
      <c r="C58">
        <v>-2</v>
      </c>
      <c r="D58">
        <v>0</v>
      </c>
      <c r="E58">
        <f t="shared" si="25"/>
        <v>-2</v>
      </c>
      <c r="F58">
        <f t="shared" si="26"/>
        <v>1</v>
      </c>
      <c r="G58">
        <f t="shared" si="27"/>
        <v>2</v>
      </c>
      <c r="H58">
        <f t="shared" si="28"/>
        <v>-1</v>
      </c>
      <c r="I58">
        <v>-1</v>
      </c>
      <c r="J58" t="s">
        <v>9</v>
      </c>
      <c r="K58" t="s">
        <v>107</v>
      </c>
      <c r="M58" t="str">
        <f t="shared" si="24"/>
        <v>[TestCase(1, 0, -2, 0, -1)]  // X Pointing Opposite Way</v>
      </c>
    </row>
    <row r="59" spans="1:13" x14ac:dyDescent="0.3">
      <c r="A59">
        <v>0</v>
      </c>
      <c r="B59">
        <v>1</v>
      </c>
      <c r="C59">
        <v>0</v>
      </c>
      <c r="D59">
        <v>-2</v>
      </c>
      <c r="E59">
        <f t="shared" si="25"/>
        <v>-2</v>
      </c>
      <c r="F59">
        <f t="shared" ref="F59:F61" si="32">SQRT(A59^2+B59^2)</f>
        <v>1</v>
      </c>
      <c r="G59">
        <f t="shared" ref="G59:G61" si="33">SQRT(C59^2+D59^2)</f>
        <v>2</v>
      </c>
      <c r="H59">
        <f t="shared" ref="H59:H61" si="34">E59/(F59*G59)</f>
        <v>-1</v>
      </c>
      <c r="I59" s="1"/>
      <c r="J59" t="s">
        <v>10</v>
      </c>
      <c r="K59" t="s">
        <v>107</v>
      </c>
      <c r="M59" t="str">
        <f t="shared" si="24"/>
        <v>[TestCase(0, 1, 0, -2, -1)]  // Y Pointing Opposite Way</v>
      </c>
    </row>
    <row r="60" spans="1:13" x14ac:dyDescent="0.3">
      <c r="A60">
        <v>1</v>
      </c>
      <c r="B60">
        <v>2</v>
      </c>
      <c r="C60">
        <v>-2</v>
      </c>
      <c r="D60">
        <v>-4</v>
      </c>
      <c r="E60">
        <f t="shared" si="25"/>
        <v>-10</v>
      </c>
      <c r="F60">
        <f t="shared" si="32"/>
        <v>2.2360679774997898</v>
      </c>
      <c r="G60">
        <f t="shared" si="33"/>
        <v>4.4721359549995796</v>
      </c>
      <c r="H60">
        <f t="shared" si="34"/>
        <v>-0.99999999999999978</v>
      </c>
      <c r="J60" t="s">
        <v>111</v>
      </c>
      <c r="K60" t="s">
        <v>107</v>
      </c>
      <c r="M60" t="str">
        <f t="shared" si="24"/>
        <v>[TestCase(1, 2, -2, -4, -1)]  // Sloped Pointing Opposite Way</v>
      </c>
    </row>
    <row r="61" spans="1:13" x14ac:dyDescent="0.3">
      <c r="A61">
        <v>1.1000000000000001</v>
      </c>
      <c r="B61">
        <v>2.2000000000000002</v>
      </c>
      <c r="C61">
        <v>-2.1</v>
      </c>
      <c r="D61">
        <v>-4.2</v>
      </c>
      <c r="E61">
        <f t="shared" si="25"/>
        <v>-11.550000000000002</v>
      </c>
      <c r="F61">
        <f t="shared" si="32"/>
        <v>2.459674775249769</v>
      </c>
      <c r="G61">
        <f t="shared" si="33"/>
        <v>4.6957427527495588</v>
      </c>
      <c r="H61">
        <f t="shared" si="34"/>
        <v>-1</v>
      </c>
      <c r="J61" t="s">
        <v>111</v>
      </c>
      <c r="K61" t="s">
        <v>107</v>
      </c>
      <c r="M61" t="str">
        <f t="shared" si="24"/>
        <v>[TestCase(1.1, 2.2, -2.1, -4.2, -1)]  // Sloped Pointing Opposite Way</v>
      </c>
    </row>
    <row r="63" spans="1:13" s="2" customFormat="1" x14ac:dyDescent="0.3">
      <c r="A63" s="2" t="s">
        <v>118</v>
      </c>
    </row>
    <row r="64" spans="1:13" x14ac:dyDescent="0.3">
      <c r="A64" s="6" t="s">
        <v>95</v>
      </c>
      <c r="B64" s="6" t="s">
        <v>97</v>
      </c>
      <c r="C64" s="6" t="s">
        <v>96</v>
      </c>
      <c r="D64" s="6" t="s">
        <v>98</v>
      </c>
      <c r="E64" s="6" t="s">
        <v>94</v>
      </c>
      <c r="F64" s="6" t="s">
        <v>119</v>
      </c>
      <c r="G64" s="6" t="s">
        <v>120</v>
      </c>
      <c r="I64" s="6" t="s">
        <v>119</v>
      </c>
      <c r="J64" s="6" t="s">
        <v>120</v>
      </c>
    </row>
    <row r="65" spans="1:10" x14ac:dyDescent="0.3">
      <c r="A65">
        <v>0</v>
      </c>
      <c r="B65">
        <v>0</v>
      </c>
      <c r="C65">
        <v>0</v>
      </c>
      <c r="D65">
        <v>0</v>
      </c>
      <c r="E65">
        <f>0.5*(A65*D65-B65*C65)</f>
        <v>0</v>
      </c>
      <c r="F65" t="b">
        <f>E65&gt;0</f>
        <v>0</v>
      </c>
      <c r="G65" t="b">
        <f>E65&lt;0</f>
        <v>0</v>
      </c>
      <c r="I65" t="str">
        <f>"[TestCase("&amp;A65&amp;", "&amp;B65&amp;", "&amp;C65&amp;", "&amp;D65&amp;", "&amp;F65&amp;")]"</f>
        <v>[TestCase(0, 0, 0, 0, FALSE)]</v>
      </c>
      <c r="J65" t="str">
        <f>"[TestCase("&amp;A65&amp;", "&amp;B65&amp;", "&amp;C65&amp;", "&amp;D65&amp;", "&amp;G65&amp;")]"</f>
        <v>[TestCase(0, 0, 0, 0, FALSE)]</v>
      </c>
    </row>
    <row r="66" spans="1:10" x14ac:dyDescent="0.3">
      <c r="A66">
        <v>1</v>
      </c>
      <c r="B66">
        <v>0</v>
      </c>
      <c r="C66">
        <v>0</v>
      </c>
      <c r="D66">
        <v>1</v>
      </c>
      <c r="E66">
        <f>0.5*(A66*D66-B66*C66)</f>
        <v>0.5</v>
      </c>
      <c r="F66" t="b">
        <f t="shared" ref="F66:F77" si="35">E66&gt;0</f>
        <v>1</v>
      </c>
      <c r="G66" t="b">
        <f t="shared" ref="G66:G77" si="36">E66&lt;0</f>
        <v>0</v>
      </c>
      <c r="I66" t="str">
        <f t="shared" ref="I66:I77" si="37">"[TestCase("&amp;A66&amp;", "&amp;B66&amp;", "&amp;C66&amp;", "&amp;D66&amp;", "&amp;F66&amp;")]"</f>
        <v>[TestCase(1, 0, 0, 1, TRUE)]</v>
      </c>
      <c r="J66" t="str">
        <f t="shared" ref="J66:J77" si="38">"[TestCase("&amp;A66&amp;", "&amp;B66&amp;", "&amp;C66&amp;", "&amp;D66&amp;", "&amp;G66&amp;")]"</f>
        <v>[TestCase(1, 0, 0, 1, FALSE)]</v>
      </c>
    </row>
    <row r="67" spans="1:10" x14ac:dyDescent="0.3">
      <c r="A67">
        <v>-1</v>
      </c>
      <c r="B67">
        <v>0</v>
      </c>
      <c r="C67">
        <v>0</v>
      </c>
      <c r="D67">
        <v>-1</v>
      </c>
      <c r="E67">
        <f>0.5*(A67*D67-B67*C67)</f>
        <v>0.5</v>
      </c>
      <c r="F67" t="b">
        <f t="shared" si="35"/>
        <v>1</v>
      </c>
      <c r="G67" t="b">
        <f t="shared" si="36"/>
        <v>0</v>
      </c>
      <c r="I67" t="str">
        <f t="shared" si="37"/>
        <v>[TestCase(-1, 0, 0, -1, TRUE)]</v>
      </c>
      <c r="J67" t="str">
        <f t="shared" si="38"/>
        <v>[TestCase(-1, 0, 0, -1, FALSE)]</v>
      </c>
    </row>
    <row r="68" spans="1:10" x14ac:dyDescent="0.3">
      <c r="A68">
        <v>-1</v>
      </c>
      <c r="B68">
        <v>0</v>
      </c>
      <c r="C68">
        <v>0</v>
      </c>
      <c r="D68">
        <v>1</v>
      </c>
      <c r="E68">
        <f>0.5*(A68*D68-B68*C68)</f>
        <v>-0.5</v>
      </c>
      <c r="F68" t="b">
        <f t="shared" si="35"/>
        <v>0</v>
      </c>
      <c r="G68" t="b">
        <f t="shared" si="36"/>
        <v>1</v>
      </c>
      <c r="I68" t="str">
        <f t="shared" si="37"/>
        <v>[TestCase(-1, 0, 0, 1, FALSE)]</v>
      </c>
      <c r="J68" t="str">
        <f t="shared" si="38"/>
        <v>[TestCase(-1, 0, 0, 1, TRUE)]</v>
      </c>
    </row>
    <row r="69" spans="1:10" x14ac:dyDescent="0.3">
      <c r="A69">
        <v>1</v>
      </c>
      <c r="B69">
        <v>0</v>
      </c>
      <c r="C69">
        <v>0</v>
      </c>
      <c r="D69">
        <v>-1</v>
      </c>
      <c r="E69">
        <f>0.5*(A69*D69-B69*C69)</f>
        <v>-0.5</v>
      </c>
      <c r="F69" t="b">
        <f t="shared" si="35"/>
        <v>0</v>
      </c>
      <c r="G69" t="b">
        <f t="shared" si="36"/>
        <v>1</v>
      </c>
      <c r="I69" t="str">
        <f t="shared" si="37"/>
        <v>[TestCase(1, 0, 0, -1, FALSE)]</v>
      </c>
      <c r="J69" t="str">
        <f t="shared" si="38"/>
        <v>[TestCase(1, 0, 0, -1, TRUE)]</v>
      </c>
    </row>
    <row r="70" spans="1:10" x14ac:dyDescent="0.3">
      <c r="A70">
        <v>0</v>
      </c>
      <c r="B70">
        <v>1</v>
      </c>
      <c r="C70">
        <v>1</v>
      </c>
      <c r="D70">
        <v>0</v>
      </c>
      <c r="E70">
        <f t="shared" ref="E70:E77" si="39">0.5*(A70*D70-B70*C70)</f>
        <v>-0.5</v>
      </c>
      <c r="F70" t="b">
        <f t="shared" si="35"/>
        <v>0</v>
      </c>
      <c r="G70" t="b">
        <f t="shared" si="36"/>
        <v>1</v>
      </c>
      <c r="I70" t="str">
        <f t="shared" si="37"/>
        <v>[TestCase(0, 1, 1, 0, FALSE)]</v>
      </c>
      <c r="J70" t="str">
        <f t="shared" si="38"/>
        <v>[TestCase(0, 1, 1, 0, TRUE)]</v>
      </c>
    </row>
    <row r="71" spans="1:10" x14ac:dyDescent="0.3">
      <c r="A71">
        <v>0</v>
      </c>
      <c r="B71">
        <v>-1</v>
      </c>
      <c r="C71">
        <v>-1</v>
      </c>
      <c r="D71">
        <v>0</v>
      </c>
      <c r="E71">
        <f t="shared" si="39"/>
        <v>-0.5</v>
      </c>
      <c r="F71" t="b">
        <f t="shared" si="35"/>
        <v>0</v>
      </c>
      <c r="G71" t="b">
        <f t="shared" si="36"/>
        <v>1</v>
      </c>
      <c r="I71" t="str">
        <f t="shared" si="37"/>
        <v>[TestCase(0, -1, -1, 0, FALSE)]</v>
      </c>
      <c r="J71" t="str">
        <f t="shared" si="38"/>
        <v>[TestCase(0, -1, -1, 0, TRUE)]</v>
      </c>
    </row>
    <row r="72" spans="1:10" x14ac:dyDescent="0.3">
      <c r="A72">
        <v>0</v>
      </c>
      <c r="B72">
        <v>-1</v>
      </c>
      <c r="C72">
        <v>1</v>
      </c>
      <c r="D72">
        <v>0</v>
      </c>
      <c r="E72">
        <f t="shared" si="39"/>
        <v>0.5</v>
      </c>
      <c r="F72" t="b">
        <f t="shared" si="35"/>
        <v>1</v>
      </c>
      <c r="G72" t="b">
        <f t="shared" si="36"/>
        <v>0</v>
      </c>
      <c r="I72" t="str">
        <f t="shared" si="37"/>
        <v>[TestCase(0, -1, 1, 0, TRUE)]</v>
      </c>
      <c r="J72" t="str">
        <f t="shared" si="38"/>
        <v>[TestCase(0, -1, 1, 0, FALSE)]</v>
      </c>
    </row>
    <row r="73" spans="1:10" x14ac:dyDescent="0.3">
      <c r="A73">
        <v>0</v>
      </c>
      <c r="B73">
        <v>1</v>
      </c>
      <c r="C73">
        <v>-1</v>
      </c>
      <c r="D73">
        <v>0</v>
      </c>
      <c r="E73">
        <f t="shared" si="39"/>
        <v>0.5</v>
      </c>
      <c r="F73" t="b">
        <f t="shared" si="35"/>
        <v>1</v>
      </c>
      <c r="G73" t="b">
        <f t="shared" si="36"/>
        <v>0</v>
      </c>
      <c r="I73" t="str">
        <f t="shared" si="37"/>
        <v>[TestCase(0, 1, -1, 0, TRUE)]</v>
      </c>
      <c r="J73" t="str">
        <f t="shared" si="38"/>
        <v>[TestCase(0, 1, -1, 0, FALSE)]</v>
      </c>
    </row>
    <row r="74" spans="1:10" x14ac:dyDescent="0.3">
      <c r="A74">
        <v>1</v>
      </c>
      <c r="B74">
        <v>2</v>
      </c>
      <c r="C74">
        <v>3</v>
      </c>
      <c r="D74">
        <v>4</v>
      </c>
      <c r="E74">
        <f t="shared" si="39"/>
        <v>-1</v>
      </c>
      <c r="F74" t="b">
        <f t="shared" si="35"/>
        <v>0</v>
      </c>
      <c r="G74" t="b">
        <f t="shared" si="36"/>
        <v>1</v>
      </c>
      <c r="I74" t="str">
        <f t="shared" si="37"/>
        <v>[TestCase(1, 2, 3, 4, FALSE)]</v>
      </c>
      <c r="J74" t="str">
        <f t="shared" si="38"/>
        <v>[TestCase(1, 2, 3, 4, TRUE)]</v>
      </c>
    </row>
    <row r="75" spans="1:10" x14ac:dyDescent="0.3">
      <c r="A75">
        <v>1</v>
      </c>
      <c r="B75">
        <v>2</v>
      </c>
      <c r="C75">
        <v>-3</v>
      </c>
      <c r="D75">
        <v>4</v>
      </c>
      <c r="E75">
        <f t="shared" si="39"/>
        <v>5</v>
      </c>
      <c r="F75" t="b">
        <f t="shared" si="35"/>
        <v>1</v>
      </c>
      <c r="G75" t="b">
        <f t="shared" si="36"/>
        <v>0</v>
      </c>
      <c r="I75" t="str">
        <f t="shared" si="37"/>
        <v>[TestCase(1, 2, -3, 4, TRUE)]</v>
      </c>
      <c r="J75" t="str">
        <f t="shared" si="38"/>
        <v>[TestCase(1, 2, -3, 4, FALSE)]</v>
      </c>
    </row>
    <row r="76" spans="1:10" x14ac:dyDescent="0.3">
      <c r="A76">
        <v>1</v>
      </c>
      <c r="B76">
        <v>2</v>
      </c>
      <c r="C76">
        <v>-3</v>
      </c>
      <c r="D76">
        <v>-4</v>
      </c>
      <c r="E76">
        <f t="shared" si="39"/>
        <v>1</v>
      </c>
      <c r="F76" t="b">
        <f t="shared" si="35"/>
        <v>1</v>
      </c>
      <c r="G76" t="b">
        <f t="shared" si="36"/>
        <v>0</v>
      </c>
      <c r="I76" t="str">
        <f t="shared" si="37"/>
        <v>[TestCase(1, 2, -3, -4, TRUE)]</v>
      </c>
      <c r="J76" t="str">
        <f t="shared" si="38"/>
        <v>[TestCase(1, 2, -3, -4, FALSE)]</v>
      </c>
    </row>
    <row r="77" spans="1:10" x14ac:dyDescent="0.3">
      <c r="A77">
        <v>1</v>
      </c>
      <c r="B77">
        <v>2</v>
      </c>
      <c r="C77">
        <v>3</v>
      </c>
      <c r="D77">
        <v>-4</v>
      </c>
      <c r="E77">
        <f t="shared" si="39"/>
        <v>-5</v>
      </c>
      <c r="F77" t="b">
        <f t="shared" si="35"/>
        <v>0</v>
      </c>
      <c r="G77" t="b">
        <f t="shared" si="36"/>
        <v>1</v>
      </c>
      <c r="I77" t="str">
        <f t="shared" si="37"/>
        <v>[TestCase(1, 2, 3, -4, FALSE)]</v>
      </c>
      <c r="J77" t="str">
        <f t="shared" si="38"/>
        <v>[TestCase(1, 2, 3, -4, TRUE)]</v>
      </c>
    </row>
    <row r="79" spans="1:10" s="2" customFormat="1" x14ac:dyDescent="0.3">
      <c r="A79" s="2" t="s">
        <v>21</v>
      </c>
    </row>
    <row r="80" spans="1:10" x14ac:dyDescent="0.3">
      <c r="A80" s="6" t="s">
        <v>95</v>
      </c>
      <c r="B80" s="6" t="s">
        <v>97</v>
      </c>
      <c r="C80" s="6" t="s">
        <v>96</v>
      </c>
      <c r="D80" s="6" t="s">
        <v>98</v>
      </c>
      <c r="E80" s="6" t="s">
        <v>100</v>
      </c>
      <c r="F80" s="6" t="s">
        <v>101</v>
      </c>
      <c r="G80" s="6" t="s">
        <v>102</v>
      </c>
      <c r="H80" s="6" t="s">
        <v>99</v>
      </c>
      <c r="I80" s="6" t="s">
        <v>21</v>
      </c>
      <c r="J80" s="6" t="s">
        <v>43</v>
      </c>
    </row>
    <row r="81" spans="1:12" x14ac:dyDescent="0.3">
      <c r="A81">
        <f t="shared" ref="A81:D99" si="40">A43</f>
        <v>0</v>
      </c>
      <c r="B81">
        <f t="shared" si="40"/>
        <v>0</v>
      </c>
      <c r="C81">
        <f t="shared" si="40"/>
        <v>0</v>
      </c>
      <c r="D81">
        <f t="shared" si="40"/>
        <v>0</v>
      </c>
      <c r="E81">
        <f t="shared" ref="E81" si="41">A81*C81+B81*D81</f>
        <v>0</v>
      </c>
      <c r="F81">
        <f>SQRT(A81^2+B81^2)</f>
        <v>0</v>
      </c>
      <c r="G81">
        <f>SQRT(C81^2+D81^2)</f>
        <v>0</v>
      </c>
      <c r="H81" t="e">
        <f>E81/(F81*G81)</f>
        <v>#DIV/0!</v>
      </c>
      <c r="I81" t="e">
        <f>ACOS(H81)</f>
        <v>#DIV/0!</v>
      </c>
      <c r="J81" t="e">
        <f>DEGREES(I81)</f>
        <v>#DIV/0!</v>
      </c>
      <c r="L81" t="e">
        <f>"[TestCase("&amp;A81&amp;", "&amp;B81&amp;", "&amp;C81&amp;", "&amp;D81&amp;", "&amp;ROUND(I81,6)&amp;")]"</f>
        <v>#DIV/0!</v>
      </c>
    </row>
    <row r="82" spans="1:12" x14ac:dyDescent="0.3">
      <c r="A82">
        <f t="shared" si="40"/>
        <v>0</v>
      </c>
      <c r="B82">
        <f t="shared" si="40"/>
        <v>0</v>
      </c>
      <c r="C82">
        <f t="shared" si="40"/>
        <v>2</v>
      </c>
      <c r="D82">
        <f t="shared" si="40"/>
        <v>3</v>
      </c>
      <c r="E82">
        <f t="shared" ref="E82:E83" si="42">A82*C82+B82*D82</f>
        <v>0</v>
      </c>
      <c r="F82">
        <f>SQRT(A82^2+B82^2)</f>
        <v>0</v>
      </c>
      <c r="G82">
        <f>SQRT(C82^2+D82^2)</f>
        <v>3.6055512754639891</v>
      </c>
      <c r="H82" t="e">
        <f>E82/(F82*G82)</f>
        <v>#DIV/0!</v>
      </c>
      <c r="I82" t="e">
        <f>ACOS(H82)</f>
        <v>#DIV/0!</v>
      </c>
      <c r="J82" t="e">
        <f>DEGREES(I82)</f>
        <v>#DIV/0!</v>
      </c>
      <c r="L82" t="e">
        <f>"[TestCase("&amp;A82&amp;", "&amp;B82&amp;", "&amp;C82&amp;", "&amp;D82&amp;", "&amp;ROUND(I82,6)&amp;")]"</f>
        <v>#DIV/0!</v>
      </c>
    </row>
    <row r="83" spans="1:12" x14ac:dyDescent="0.3">
      <c r="A83">
        <f t="shared" si="40"/>
        <v>2</v>
      </c>
      <c r="B83">
        <f t="shared" si="40"/>
        <v>3</v>
      </c>
      <c r="C83">
        <f t="shared" si="40"/>
        <v>0</v>
      </c>
      <c r="D83">
        <f t="shared" si="40"/>
        <v>0</v>
      </c>
      <c r="E83">
        <f t="shared" si="42"/>
        <v>0</v>
      </c>
      <c r="F83">
        <f>SQRT(A83^2+B83^2)</f>
        <v>3.6055512754639891</v>
      </c>
      <c r="G83">
        <f>SQRT(C83^2+D83^2)</f>
        <v>0</v>
      </c>
      <c r="H83" t="e">
        <f>E83/(F83*G83)</f>
        <v>#DIV/0!</v>
      </c>
      <c r="I83" t="e">
        <f>ACOS(H83)</f>
        <v>#DIV/0!</v>
      </c>
      <c r="J83" t="e">
        <f>DEGREES(I83)</f>
        <v>#DIV/0!</v>
      </c>
      <c r="L83" t="e">
        <f>"[TestCase("&amp;A83&amp;", "&amp;B83&amp;", "&amp;C83&amp;", "&amp;D83&amp;", "&amp;ROUND(I83,6)&amp;")]"</f>
        <v>#DIV/0!</v>
      </c>
    </row>
    <row r="84" spans="1:12" x14ac:dyDescent="0.3">
      <c r="A84">
        <f t="shared" si="40"/>
        <v>1</v>
      </c>
      <c r="B84">
        <f t="shared" si="40"/>
        <v>0</v>
      </c>
      <c r="C84">
        <f t="shared" si="40"/>
        <v>2</v>
      </c>
      <c r="D84">
        <f t="shared" si="40"/>
        <v>0</v>
      </c>
      <c r="E84">
        <f t="shared" ref="E84:E101" si="43">A84*C84+B84*D84</f>
        <v>2</v>
      </c>
      <c r="F84">
        <f t="shared" ref="F84:F101" si="44">SQRT(A84^2+B84^2)</f>
        <v>1</v>
      </c>
      <c r="G84">
        <f t="shared" ref="G84:G101" si="45">SQRT(C84^2+D84^2)</f>
        <v>2</v>
      </c>
      <c r="H84">
        <f t="shared" ref="H84:H101" si="46">E84/(F84*G84)</f>
        <v>1</v>
      </c>
      <c r="I84">
        <f t="shared" ref="I84:I101" si="47">ACOS(H84)</f>
        <v>0</v>
      </c>
      <c r="J84">
        <f t="shared" ref="J84:J101" si="48">DEGREES(I84)</f>
        <v>0</v>
      </c>
      <c r="L84" t="str">
        <f t="shared" ref="L84:L101" si="49">"[TestCase("&amp;A84&amp;", "&amp;B84&amp;", "&amp;C84&amp;", "&amp;D84&amp;", "&amp;ROUND(I84,6)&amp;")]"</f>
        <v>[TestCase(1, 0, 2, 0, 0)]</v>
      </c>
    </row>
    <row r="85" spans="1:12" x14ac:dyDescent="0.3">
      <c r="A85">
        <f t="shared" si="40"/>
        <v>0</v>
      </c>
      <c r="B85">
        <f t="shared" si="40"/>
        <v>1</v>
      </c>
      <c r="C85">
        <f t="shared" si="40"/>
        <v>0</v>
      </c>
      <c r="D85">
        <f t="shared" si="40"/>
        <v>2</v>
      </c>
      <c r="E85">
        <f t="shared" si="43"/>
        <v>2</v>
      </c>
      <c r="F85">
        <f t="shared" si="44"/>
        <v>1</v>
      </c>
      <c r="G85">
        <f t="shared" si="45"/>
        <v>2</v>
      </c>
      <c r="H85">
        <f t="shared" si="46"/>
        <v>1</v>
      </c>
      <c r="I85">
        <f t="shared" si="47"/>
        <v>0</v>
      </c>
      <c r="J85">
        <f t="shared" si="48"/>
        <v>0</v>
      </c>
      <c r="L85" t="str">
        <f t="shared" si="49"/>
        <v>[TestCase(0, 1, 0, 2, 0)]</v>
      </c>
    </row>
    <row r="86" spans="1:12" x14ac:dyDescent="0.3">
      <c r="A86">
        <f t="shared" si="40"/>
        <v>1</v>
      </c>
      <c r="B86">
        <f t="shared" si="40"/>
        <v>2</v>
      </c>
      <c r="C86">
        <f t="shared" si="40"/>
        <v>2</v>
      </c>
      <c r="D86">
        <f t="shared" si="40"/>
        <v>4</v>
      </c>
      <c r="E86">
        <f t="shared" si="43"/>
        <v>10</v>
      </c>
      <c r="F86">
        <f t="shared" si="44"/>
        <v>2.2360679774997898</v>
      </c>
      <c r="G86">
        <f t="shared" si="45"/>
        <v>4.4721359549995796</v>
      </c>
      <c r="H86">
        <f t="shared" si="46"/>
        <v>0.99999999999999978</v>
      </c>
      <c r="I86">
        <f t="shared" si="47"/>
        <v>2.1073424116835326E-8</v>
      </c>
      <c r="J86">
        <f t="shared" si="48"/>
        <v>1.2074182617838684E-6</v>
      </c>
      <c r="L86" t="str">
        <f t="shared" si="49"/>
        <v>[TestCase(1, 2, 2, 4, 0)]</v>
      </c>
    </row>
    <row r="87" spans="1:12" x14ac:dyDescent="0.3">
      <c r="A87">
        <f t="shared" si="40"/>
        <v>1.1000000000000001</v>
      </c>
      <c r="B87">
        <f t="shared" si="40"/>
        <v>2.2000000000000002</v>
      </c>
      <c r="C87">
        <f t="shared" si="40"/>
        <v>2.1</v>
      </c>
      <c r="D87">
        <f t="shared" si="40"/>
        <v>4.2</v>
      </c>
      <c r="E87">
        <f t="shared" si="43"/>
        <v>11.550000000000002</v>
      </c>
      <c r="F87">
        <f t="shared" si="44"/>
        <v>2.459674775249769</v>
      </c>
      <c r="G87">
        <f t="shared" si="45"/>
        <v>4.6957427527495588</v>
      </c>
      <c r="H87">
        <f t="shared" si="46"/>
        <v>1</v>
      </c>
      <c r="I87">
        <f t="shared" si="47"/>
        <v>0</v>
      </c>
      <c r="J87">
        <f t="shared" si="48"/>
        <v>0</v>
      </c>
      <c r="L87" t="str">
        <f t="shared" si="49"/>
        <v>[TestCase(1.1, 2.2, 2.1, 4.2, 0)]</v>
      </c>
    </row>
    <row r="88" spans="1:12" x14ac:dyDescent="0.3">
      <c r="A88">
        <f t="shared" si="40"/>
        <v>2</v>
      </c>
      <c r="B88">
        <f t="shared" si="40"/>
        <v>1</v>
      </c>
      <c r="C88">
        <f t="shared" si="40"/>
        <v>1</v>
      </c>
      <c r="D88">
        <f t="shared" si="40"/>
        <v>2</v>
      </c>
      <c r="E88">
        <f t="shared" si="43"/>
        <v>4</v>
      </c>
      <c r="F88">
        <f t="shared" si="44"/>
        <v>2.2360679774997898</v>
      </c>
      <c r="G88">
        <f t="shared" si="45"/>
        <v>2.2360679774997898</v>
      </c>
      <c r="H88">
        <f t="shared" si="46"/>
        <v>0.79999999999999982</v>
      </c>
      <c r="I88">
        <f t="shared" si="47"/>
        <v>0.64350110879328459</v>
      </c>
      <c r="J88">
        <f t="shared" si="48"/>
        <v>36.869897645844034</v>
      </c>
      <c r="K88" t="s">
        <v>121</v>
      </c>
      <c r="L88" t="str">
        <f t="shared" si="49"/>
        <v>[TestCase(2, 1, 1, 2, 0.643501)]</v>
      </c>
    </row>
    <row r="89" spans="1:12" x14ac:dyDescent="0.3">
      <c r="A89">
        <f t="shared" si="40"/>
        <v>1</v>
      </c>
      <c r="B89">
        <f t="shared" si="40"/>
        <v>0</v>
      </c>
      <c r="C89">
        <f t="shared" si="40"/>
        <v>0</v>
      </c>
      <c r="D89">
        <f t="shared" si="40"/>
        <v>1</v>
      </c>
      <c r="E89">
        <f t="shared" si="43"/>
        <v>0</v>
      </c>
      <c r="F89">
        <f t="shared" si="44"/>
        <v>1</v>
      </c>
      <c r="G89">
        <f t="shared" si="45"/>
        <v>1</v>
      </c>
      <c r="H89">
        <f t="shared" si="46"/>
        <v>0</v>
      </c>
      <c r="I89">
        <f t="shared" si="47"/>
        <v>1.5707963267948966</v>
      </c>
      <c r="J89">
        <f t="shared" si="48"/>
        <v>90</v>
      </c>
      <c r="L89" t="str">
        <f t="shared" si="49"/>
        <v>[TestCase(1, 0, 0, 1, 1.570796)]</v>
      </c>
    </row>
    <row r="90" spans="1:12" x14ac:dyDescent="0.3">
      <c r="A90">
        <f t="shared" si="40"/>
        <v>0</v>
      </c>
      <c r="B90">
        <f t="shared" si="40"/>
        <v>1</v>
      </c>
      <c r="C90">
        <f t="shared" si="40"/>
        <v>-1</v>
      </c>
      <c r="D90">
        <f t="shared" si="40"/>
        <v>0</v>
      </c>
      <c r="E90">
        <f t="shared" si="43"/>
        <v>0</v>
      </c>
      <c r="F90">
        <f t="shared" si="44"/>
        <v>1</v>
      </c>
      <c r="G90">
        <f t="shared" si="45"/>
        <v>1</v>
      </c>
      <c r="H90">
        <f t="shared" si="46"/>
        <v>0</v>
      </c>
      <c r="I90">
        <f t="shared" si="47"/>
        <v>1.5707963267948966</v>
      </c>
      <c r="J90">
        <f t="shared" si="48"/>
        <v>90</v>
      </c>
      <c r="L90" t="str">
        <f t="shared" si="49"/>
        <v>[TestCase(0, 1, -1, 0, 1.570796)]</v>
      </c>
    </row>
    <row r="91" spans="1:12" x14ac:dyDescent="0.3">
      <c r="A91">
        <f t="shared" si="40"/>
        <v>-1</v>
      </c>
      <c r="B91">
        <f t="shared" si="40"/>
        <v>0</v>
      </c>
      <c r="C91">
        <f t="shared" si="40"/>
        <v>0</v>
      </c>
      <c r="D91">
        <f t="shared" si="40"/>
        <v>-1</v>
      </c>
      <c r="E91">
        <f t="shared" si="43"/>
        <v>0</v>
      </c>
      <c r="F91">
        <f t="shared" si="44"/>
        <v>1</v>
      </c>
      <c r="G91">
        <f t="shared" si="45"/>
        <v>1</v>
      </c>
      <c r="H91">
        <f t="shared" si="46"/>
        <v>0</v>
      </c>
      <c r="I91">
        <f t="shared" si="47"/>
        <v>1.5707963267948966</v>
      </c>
      <c r="J91">
        <f t="shared" si="48"/>
        <v>90</v>
      </c>
      <c r="L91" t="str">
        <f t="shared" si="49"/>
        <v>[TestCase(-1, 0, 0, -1, 1.570796)]</v>
      </c>
    </row>
    <row r="92" spans="1:12" x14ac:dyDescent="0.3">
      <c r="A92">
        <f t="shared" si="40"/>
        <v>0</v>
      </c>
      <c r="B92">
        <f t="shared" si="40"/>
        <v>-1</v>
      </c>
      <c r="C92">
        <f t="shared" si="40"/>
        <v>1</v>
      </c>
      <c r="D92">
        <f t="shared" si="40"/>
        <v>0</v>
      </c>
      <c r="E92">
        <f t="shared" si="43"/>
        <v>0</v>
      </c>
      <c r="F92">
        <f t="shared" si="44"/>
        <v>1</v>
      </c>
      <c r="G92">
        <f t="shared" si="45"/>
        <v>1</v>
      </c>
      <c r="H92">
        <f t="shared" si="46"/>
        <v>0</v>
      </c>
      <c r="I92">
        <f t="shared" si="47"/>
        <v>1.5707963267948966</v>
      </c>
      <c r="J92">
        <f t="shared" si="48"/>
        <v>90</v>
      </c>
      <c r="L92" t="str">
        <f t="shared" si="49"/>
        <v>[TestCase(0, -1, 1, 0, 1.570796)]</v>
      </c>
    </row>
    <row r="93" spans="1:12" x14ac:dyDescent="0.3">
      <c r="A93">
        <f t="shared" si="40"/>
        <v>1</v>
      </c>
      <c r="B93">
        <f t="shared" si="40"/>
        <v>0</v>
      </c>
      <c r="C93">
        <f t="shared" si="40"/>
        <v>0</v>
      </c>
      <c r="D93">
        <f t="shared" si="40"/>
        <v>-1</v>
      </c>
      <c r="E93">
        <f t="shared" si="43"/>
        <v>0</v>
      </c>
      <c r="F93">
        <f t="shared" si="44"/>
        <v>1</v>
      </c>
      <c r="G93">
        <f t="shared" si="45"/>
        <v>1</v>
      </c>
      <c r="H93">
        <f t="shared" si="46"/>
        <v>0</v>
      </c>
      <c r="I93">
        <f t="shared" si="47"/>
        <v>1.5707963267948966</v>
      </c>
      <c r="J93">
        <f t="shared" si="48"/>
        <v>90</v>
      </c>
      <c r="L93" t="str">
        <f t="shared" si="49"/>
        <v>[TestCase(1, 0, 0, -1, 1.570796)]</v>
      </c>
    </row>
    <row r="94" spans="1:12" x14ac:dyDescent="0.3">
      <c r="A94">
        <f t="shared" si="40"/>
        <v>1</v>
      </c>
      <c r="B94">
        <f t="shared" si="40"/>
        <v>2</v>
      </c>
      <c r="C94">
        <f t="shared" si="40"/>
        <v>-2</v>
      </c>
      <c r="D94">
        <f t="shared" si="40"/>
        <v>1</v>
      </c>
      <c r="E94">
        <f t="shared" si="43"/>
        <v>0</v>
      </c>
      <c r="F94">
        <f t="shared" si="44"/>
        <v>2.2360679774997898</v>
      </c>
      <c r="G94">
        <f t="shared" si="45"/>
        <v>2.2360679774997898</v>
      </c>
      <c r="H94">
        <f t="shared" si="46"/>
        <v>0</v>
      </c>
      <c r="I94">
        <f t="shared" si="47"/>
        <v>1.5707963267948966</v>
      </c>
      <c r="J94">
        <f t="shared" si="48"/>
        <v>90</v>
      </c>
      <c r="L94" t="str">
        <f t="shared" si="49"/>
        <v>[TestCase(1, 2, -2, 1, 1.570796)]</v>
      </c>
    </row>
    <row r="95" spans="1:12" x14ac:dyDescent="0.3">
      <c r="A95">
        <f t="shared" si="40"/>
        <v>-2</v>
      </c>
      <c r="B95">
        <f t="shared" si="40"/>
        <v>1</v>
      </c>
      <c r="C95">
        <f t="shared" si="40"/>
        <v>1</v>
      </c>
      <c r="D95">
        <f t="shared" si="40"/>
        <v>-2</v>
      </c>
      <c r="E95">
        <f t="shared" si="43"/>
        <v>-4</v>
      </c>
      <c r="F95">
        <f t="shared" si="44"/>
        <v>2.2360679774997898</v>
      </c>
      <c r="G95">
        <f t="shared" si="45"/>
        <v>2.2360679774997898</v>
      </c>
      <c r="H95">
        <f t="shared" si="46"/>
        <v>-0.79999999999999982</v>
      </c>
      <c r="I95">
        <f t="shared" si="47"/>
        <v>2.4980915447965084</v>
      </c>
      <c r="J95">
        <f t="shared" si="48"/>
        <v>143.13010235415595</v>
      </c>
      <c r="K95" t="s">
        <v>122</v>
      </c>
      <c r="L95" t="str">
        <f t="shared" si="49"/>
        <v>[TestCase(-2, 1, 1, -2, 2.498092)]</v>
      </c>
    </row>
    <row r="96" spans="1:12" x14ac:dyDescent="0.3">
      <c r="A96">
        <f t="shared" si="40"/>
        <v>1</v>
      </c>
      <c r="B96">
        <f t="shared" si="40"/>
        <v>0</v>
      </c>
      <c r="C96">
        <f t="shared" si="40"/>
        <v>-2</v>
      </c>
      <c r="D96">
        <f t="shared" si="40"/>
        <v>0</v>
      </c>
      <c r="E96">
        <f t="shared" si="43"/>
        <v>-2</v>
      </c>
      <c r="F96">
        <f t="shared" si="44"/>
        <v>1</v>
      </c>
      <c r="G96">
        <f t="shared" si="45"/>
        <v>2</v>
      </c>
      <c r="H96">
        <f t="shared" si="46"/>
        <v>-1</v>
      </c>
      <c r="I96">
        <f t="shared" si="47"/>
        <v>3.1415926535897931</v>
      </c>
      <c r="J96">
        <f t="shared" si="48"/>
        <v>180</v>
      </c>
      <c r="L96" t="str">
        <f t="shared" si="49"/>
        <v>[TestCase(1, 0, -2, 0, 3.141593)]</v>
      </c>
    </row>
    <row r="97" spans="1:16" x14ac:dyDescent="0.3">
      <c r="A97">
        <f t="shared" si="40"/>
        <v>0</v>
      </c>
      <c r="B97">
        <f t="shared" si="40"/>
        <v>1</v>
      </c>
      <c r="C97">
        <f t="shared" si="40"/>
        <v>0</v>
      </c>
      <c r="D97">
        <f t="shared" si="40"/>
        <v>-2</v>
      </c>
      <c r="E97">
        <f t="shared" si="43"/>
        <v>-2</v>
      </c>
      <c r="F97">
        <f t="shared" si="44"/>
        <v>1</v>
      </c>
      <c r="G97">
        <f t="shared" si="45"/>
        <v>2</v>
      </c>
      <c r="H97">
        <f t="shared" si="46"/>
        <v>-1</v>
      </c>
      <c r="I97">
        <f t="shared" si="47"/>
        <v>3.1415926535897931</v>
      </c>
      <c r="J97">
        <f t="shared" si="48"/>
        <v>180</v>
      </c>
      <c r="L97" t="str">
        <f t="shared" si="49"/>
        <v>[TestCase(0, 1, 0, -2, 3.141593)]</v>
      </c>
    </row>
    <row r="98" spans="1:16" x14ac:dyDescent="0.3">
      <c r="A98">
        <f t="shared" si="40"/>
        <v>1</v>
      </c>
      <c r="B98">
        <f t="shared" si="40"/>
        <v>2</v>
      </c>
      <c r="C98">
        <f t="shared" si="40"/>
        <v>-2</v>
      </c>
      <c r="D98">
        <f t="shared" si="40"/>
        <v>-4</v>
      </c>
      <c r="E98">
        <f t="shared" si="43"/>
        <v>-10</v>
      </c>
      <c r="F98">
        <f t="shared" si="44"/>
        <v>2.2360679774997898</v>
      </c>
      <c r="G98">
        <f t="shared" si="45"/>
        <v>4.4721359549995796</v>
      </c>
      <c r="H98">
        <f t="shared" si="46"/>
        <v>-0.99999999999999978</v>
      </c>
      <c r="I98">
        <f t="shared" si="47"/>
        <v>3.1415926325163692</v>
      </c>
      <c r="J98">
        <f t="shared" si="48"/>
        <v>179.99999879258175</v>
      </c>
      <c r="L98" t="str">
        <f t="shared" si="49"/>
        <v>[TestCase(1, 2, -2, -4, 3.141593)]</v>
      </c>
    </row>
    <row r="99" spans="1:16" x14ac:dyDescent="0.3">
      <c r="A99">
        <f t="shared" si="40"/>
        <v>1.1000000000000001</v>
      </c>
      <c r="B99">
        <f t="shared" si="40"/>
        <v>2.2000000000000002</v>
      </c>
      <c r="C99">
        <f t="shared" si="40"/>
        <v>-2.1</v>
      </c>
      <c r="D99">
        <f t="shared" si="40"/>
        <v>-4.2</v>
      </c>
      <c r="E99">
        <f t="shared" si="43"/>
        <v>-11.550000000000002</v>
      </c>
      <c r="F99">
        <f t="shared" si="44"/>
        <v>2.459674775249769</v>
      </c>
      <c r="G99">
        <f t="shared" si="45"/>
        <v>4.6957427527495588</v>
      </c>
      <c r="H99">
        <f t="shared" si="46"/>
        <v>-1</v>
      </c>
      <c r="I99">
        <f t="shared" si="47"/>
        <v>3.1415926535897931</v>
      </c>
      <c r="J99">
        <f t="shared" si="48"/>
        <v>180</v>
      </c>
      <c r="L99" t="str">
        <f t="shared" si="49"/>
        <v>[TestCase(1.1, 2.2, -2.1, -4.2, 3.141593)]</v>
      </c>
    </row>
    <row r="100" spans="1:16" x14ac:dyDescent="0.3">
      <c r="A100">
        <v>1</v>
      </c>
      <c r="B100">
        <v>0</v>
      </c>
      <c r="C100">
        <v>-1</v>
      </c>
      <c r="D100">
        <v>-1</v>
      </c>
      <c r="E100">
        <f t="shared" ref="E100" si="50">A100*C100+B100*D100</f>
        <v>-1</v>
      </c>
      <c r="F100">
        <f t="shared" si="44"/>
        <v>1</v>
      </c>
      <c r="G100">
        <f t="shared" si="45"/>
        <v>1.4142135623730951</v>
      </c>
      <c r="H100">
        <f t="shared" si="46"/>
        <v>-0.70710678118654746</v>
      </c>
      <c r="I100">
        <f t="shared" si="47"/>
        <v>2.3561944901923448</v>
      </c>
      <c r="J100">
        <f t="shared" si="48"/>
        <v>135</v>
      </c>
      <c r="K100" t="s">
        <v>124</v>
      </c>
      <c r="L100" t="str">
        <f t="shared" si="49"/>
        <v>[TestCase(1, 0, -1, -1, 2.356194)]</v>
      </c>
    </row>
    <row r="101" spans="1:16" x14ac:dyDescent="0.3">
      <c r="A101">
        <v>1</v>
      </c>
      <c r="B101">
        <v>0</v>
      </c>
      <c r="C101">
        <v>1</v>
      </c>
      <c r="D101">
        <v>-1</v>
      </c>
      <c r="E101">
        <f t="shared" si="43"/>
        <v>1</v>
      </c>
      <c r="F101">
        <f t="shared" si="44"/>
        <v>1</v>
      </c>
      <c r="G101">
        <f t="shared" si="45"/>
        <v>1.4142135623730951</v>
      </c>
      <c r="H101">
        <f t="shared" si="46"/>
        <v>0.70710678118654746</v>
      </c>
      <c r="I101">
        <f t="shared" si="47"/>
        <v>0.78539816339744828</v>
      </c>
      <c r="J101">
        <f t="shared" si="48"/>
        <v>45</v>
      </c>
      <c r="K101" t="s">
        <v>123</v>
      </c>
      <c r="L101" t="str">
        <f t="shared" si="49"/>
        <v>[TestCase(1, 0, 1, -1, 0.785398)]</v>
      </c>
    </row>
    <row r="103" spans="1:16" s="2" customFormat="1" x14ac:dyDescent="0.3">
      <c r="A103" s="2" t="s">
        <v>131</v>
      </c>
    </row>
    <row r="104" spans="1:16" s="3" customFormat="1" x14ac:dyDescent="0.3">
      <c r="E104" s="41" t="s">
        <v>129</v>
      </c>
      <c r="F104" s="41"/>
      <c r="G104" s="41" t="s">
        <v>130</v>
      </c>
      <c r="H104" s="41"/>
    </row>
    <row r="105" spans="1:16" s="6" customFormat="1" x14ac:dyDescent="0.3">
      <c r="A105" s="6" t="s">
        <v>125</v>
      </c>
      <c r="B105" s="6" t="s">
        <v>126</v>
      </c>
      <c r="C105" s="6" t="s">
        <v>127</v>
      </c>
      <c r="D105" s="6" t="s">
        <v>128</v>
      </c>
      <c r="E105" s="23" t="s">
        <v>91</v>
      </c>
      <c r="F105" s="23" t="s">
        <v>92</v>
      </c>
      <c r="G105" s="23" t="s">
        <v>91</v>
      </c>
      <c r="H105" s="23" t="s">
        <v>92</v>
      </c>
      <c r="I105" s="6" t="s">
        <v>132</v>
      </c>
      <c r="J105" s="6" t="s">
        <v>133</v>
      </c>
      <c r="K105" s="6" t="s">
        <v>134</v>
      </c>
    </row>
    <row r="106" spans="1:16" s="25" customFormat="1" x14ac:dyDescent="0.3">
      <c r="A106" s="25">
        <v>0</v>
      </c>
      <c r="B106" s="25">
        <v>0</v>
      </c>
      <c r="C106" s="25">
        <v>0</v>
      </c>
      <c r="D106" s="25">
        <v>0</v>
      </c>
      <c r="E106" s="25">
        <f>C106-A106</f>
        <v>0</v>
      </c>
      <c r="F106" s="25">
        <f>D106-B106</f>
        <v>0</v>
      </c>
      <c r="G106" s="25" t="e">
        <f>#REF!-#REF!</f>
        <v>#REF!</v>
      </c>
      <c r="H106" s="25" t="e">
        <f>-#REF!-#REF!</f>
        <v>#REF!</v>
      </c>
    </row>
    <row r="107" spans="1:16" s="25" customFormat="1" x14ac:dyDescent="0.3">
      <c r="A107" s="25">
        <f>A106+0.5</f>
        <v>0.5</v>
      </c>
      <c r="B107" s="25">
        <f>B106+0.5</f>
        <v>0.5</v>
      </c>
      <c r="C107" s="25">
        <f>C106+0.5</f>
        <v>0.5</v>
      </c>
      <c r="D107" s="25">
        <f>D106+0.5</f>
        <v>0.5</v>
      </c>
      <c r="E107" s="25" t="e">
        <f>(C107-A107)/(SQRT((C107-A107)^2+(B107-D107)^2))</f>
        <v>#DIV/0!</v>
      </c>
      <c r="F107" s="25" t="e">
        <f>(D107-B107)/(SQRT((C107-A107)^2+(B107-D107)^2))</f>
        <v>#DIV/0!</v>
      </c>
      <c r="G107" s="25" t="e">
        <f t="shared" ref="G107:G125" si="51">-F107</f>
        <v>#DIV/0!</v>
      </c>
      <c r="H107" s="25" t="e">
        <f t="shared" ref="H107:H125" si="52">E107</f>
        <v>#DIV/0!</v>
      </c>
      <c r="O107" s="25" t="e">
        <f t="shared" ref="O107:O125" si="53">"[TestCase("&amp;A107&amp;", "&amp;B107&amp;", "&amp;C107&amp;", "&amp;D107&amp;", "&amp;ROUND(E107,6)&amp;", "&amp;ROUND(F107,6)&amp;")]"</f>
        <v>#DIV/0!</v>
      </c>
      <c r="P107" s="25" t="e">
        <f t="shared" ref="P107:P125" si="54">"[TestCase("&amp;A107&amp;", "&amp;B107&amp;", "&amp;C107&amp;", "&amp;D107&amp;", "&amp;ROUND(G107,6)&amp;", "&amp;ROUND(H107,6)&amp;")]"</f>
        <v>#DIV/0!</v>
      </c>
    </row>
    <row r="108" spans="1:16" x14ac:dyDescent="0.3">
      <c r="A108">
        <v>0</v>
      </c>
      <c r="B108">
        <v>0</v>
      </c>
      <c r="C108">
        <v>1</v>
      </c>
      <c r="D108">
        <v>0</v>
      </c>
      <c r="E108" s="24">
        <f>(C108-A108)/(SQRT((C108-A108)^2+(B108-D108)^2))</f>
        <v>1</v>
      </c>
      <c r="F108" s="24">
        <f>(D108-B108)/(SQRT((C108-A108)^2+(B108-D108)^2))</f>
        <v>0</v>
      </c>
      <c r="G108" s="24">
        <f t="shared" si="51"/>
        <v>0</v>
      </c>
      <c r="H108" s="24">
        <f t="shared" si="52"/>
        <v>1</v>
      </c>
      <c r="I108">
        <v>0</v>
      </c>
      <c r="J108">
        <f t="shared" ref="J108:J115" si="55">I108</f>
        <v>0</v>
      </c>
      <c r="K108">
        <f t="shared" ref="K108:K115" si="56">J108+90-IF(J108+90&gt;=360,360,0)</f>
        <v>90</v>
      </c>
      <c r="L108">
        <f t="shared" ref="L108:L115" si="57">DEGREES(ATAN(F108/E108))</f>
        <v>0</v>
      </c>
      <c r="M108">
        <f t="shared" ref="M108:M115" si="58">DEGREES(ATAN(G108/H108))</f>
        <v>0</v>
      </c>
      <c r="O108" t="str">
        <f t="shared" si="53"/>
        <v>[TestCase(0, 0, 1, 0, 1, 0)]</v>
      </c>
      <c r="P108" t="str">
        <f t="shared" si="54"/>
        <v>[TestCase(0, 0, 1, 0, 0, 1)]</v>
      </c>
    </row>
    <row r="109" spans="1:16" x14ac:dyDescent="0.3">
      <c r="A109">
        <v>0</v>
      </c>
      <c r="B109">
        <v>0</v>
      </c>
      <c r="C109">
        <v>1</v>
      </c>
      <c r="D109">
        <v>1</v>
      </c>
      <c r="E109" s="24">
        <f t="shared" ref="E109:E125" si="59">(C109-A109)/(SQRT((C109-A109)^2+(B109-D109)^2))</f>
        <v>0.70710678118654746</v>
      </c>
      <c r="F109" s="24">
        <f t="shared" ref="F109:F125" si="60">(D109-B109)/(SQRT((C109-A109)^2+(B109-D109)^2))</f>
        <v>0.70710678118654746</v>
      </c>
      <c r="G109" s="24">
        <f t="shared" si="51"/>
        <v>-0.70710678118654746</v>
      </c>
      <c r="H109" s="24">
        <f t="shared" si="52"/>
        <v>0.70710678118654746</v>
      </c>
      <c r="I109">
        <v>45</v>
      </c>
      <c r="J109">
        <f t="shared" si="55"/>
        <v>45</v>
      </c>
      <c r="K109">
        <f t="shared" si="56"/>
        <v>135</v>
      </c>
      <c r="L109">
        <f t="shared" si="57"/>
        <v>45</v>
      </c>
      <c r="M109">
        <f t="shared" si="58"/>
        <v>-45</v>
      </c>
      <c r="O109" t="str">
        <f t="shared" si="53"/>
        <v>[TestCase(0, 0, 1, 1, 0.707107, 0.707107)]</v>
      </c>
      <c r="P109" t="str">
        <f t="shared" si="54"/>
        <v>[TestCase(0, 0, 1, 1, -0.707107, 0.707107)]</v>
      </c>
    </row>
    <row r="110" spans="1:16" x14ac:dyDescent="0.3">
      <c r="A110">
        <v>0</v>
      </c>
      <c r="B110">
        <v>0</v>
      </c>
      <c r="C110">
        <v>0</v>
      </c>
      <c r="D110">
        <v>1</v>
      </c>
      <c r="E110" s="24">
        <f t="shared" si="59"/>
        <v>0</v>
      </c>
      <c r="F110" s="24">
        <f t="shared" si="60"/>
        <v>1</v>
      </c>
      <c r="G110" s="24">
        <f t="shared" si="51"/>
        <v>-1</v>
      </c>
      <c r="H110" s="24">
        <f t="shared" si="52"/>
        <v>0</v>
      </c>
      <c r="I110">
        <v>90</v>
      </c>
      <c r="J110">
        <f t="shared" si="55"/>
        <v>90</v>
      </c>
      <c r="K110">
        <f t="shared" si="56"/>
        <v>180</v>
      </c>
      <c r="L110" t="e">
        <f t="shared" si="57"/>
        <v>#DIV/0!</v>
      </c>
      <c r="M110" t="e">
        <f t="shared" si="58"/>
        <v>#DIV/0!</v>
      </c>
      <c r="O110" t="str">
        <f t="shared" si="53"/>
        <v>[TestCase(0, 0, 0, 1, 0, 1)]</v>
      </c>
      <c r="P110" t="str">
        <f t="shared" si="54"/>
        <v>[TestCase(0, 0, 0, 1, -1, 0)]</v>
      </c>
    </row>
    <row r="111" spans="1:16" x14ac:dyDescent="0.3">
      <c r="A111">
        <v>0</v>
      </c>
      <c r="B111">
        <v>0</v>
      </c>
      <c r="C111">
        <v>-1</v>
      </c>
      <c r="D111">
        <v>1</v>
      </c>
      <c r="E111" s="24">
        <f t="shared" si="59"/>
        <v>-0.70710678118654746</v>
      </c>
      <c r="F111" s="24">
        <f t="shared" si="60"/>
        <v>0.70710678118654746</v>
      </c>
      <c r="G111" s="24">
        <f t="shared" si="51"/>
        <v>-0.70710678118654746</v>
      </c>
      <c r="H111" s="24">
        <f t="shared" si="52"/>
        <v>-0.70710678118654746</v>
      </c>
      <c r="I111">
        <v>135</v>
      </c>
      <c r="J111">
        <f t="shared" si="55"/>
        <v>135</v>
      </c>
      <c r="K111">
        <f t="shared" si="56"/>
        <v>225</v>
      </c>
      <c r="L111">
        <f t="shared" si="57"/>
        <v>-45</v>
      </c>
      <c r="M111">
        <f t="shared" si="58"/>
        <v>45</v>
      </c>
      <c r="O111" t="str">
        <f t="shared" si="53"/>
        <v>[TestCase(0, 0, -1, 1, -0.707107, 0.707107)]</v>
      </c>
      <c r="P111" t="str">
        <f t="shared" si="54"/>
        <v>[TestCase(0, 0, -1, 1, -0.707107, -0.707107)]</v>
      </c>
    </row>
    <row r="112" spans="1:16" x14ac:dyDescent="0.3">
      <c r="A112">
        <v>0</v>
      </c>
      <c r="B112">
        <v>0</v>
      </c>
      <c r="C112">
        <v>-1</v>
      </c>
      <c r="D112">
        <v>0</v>
      </c>
      <c r="E112" s="24">
        <f t="shared" si="59"/>
        <v>-1</v>
      </c>
      <c r="F112" s="24">
        <f t="shared" si="60"/>
        <v>0</v>
      </c>
      <c r="G112" s="24">
        <f t="shared" si="51"/>
        <v>0</v>
      </c>
      <c r="H112" s="24">
        <f t="shared" si="52"/>
        <v>-1</v>
      </c>
      <c r="I112">
        <v>180</v>
      </c>
      <c r="J112">
        <f t="shared" si="55"/>
        <v>180</v>
      </c>
      <c r="K112">
        <f t="shared" si="56"/>
        <v>270</v>
      </c>
      <c r="L112">
        <f t="shared" si="57"/>
        <v>0</v>
      </c>
      <c r="M112">
        <f t="shared" si="58"/>
        <v>0</v>
      </c>
      <c r="O112" t="str">
        <f t="shared" si="53"/>
        <v>[TestCase(0, 0, -1, 0, -1, 0)]</v>
      </c>
      <c r="P112" t="str">
        <f t="shared" si="54"/>
        <v>[TestCase(0, 0, -1, 0, 0, -1)]</v>
      </c>
    </row>
    <row r="113" spans="1:16" x14ac:dyDescent="0.3">
      <c r="A113">
        <v>0</v>
      </c>
      <c r="B113">
        <v>0</v>
      </c>
      <c r="C113">
        <v>-1</v>
      </c>
      <c r="D113">
        <v>-1</v>
      </c>
      <c r="E113" s="24">
        <f t="shared" si="59"/>
        <v>-0.70710678118654746</v>
      </c>
      <c r="F113" s="24">
        <f t="shared" si="60"/>
        <v>-0.70710678118654746</v>
      </c>
      <c r="G113" s="24">
        <f t="shared" si="51"/>
        <v>0.70710678118654746</v>
      </c>
      <c r="H113" s="24">
        <f t="shared" si="52"/>
        <v>-0.70710678118654746</v>
      </c>
      <c r="I113">
        <v>225</v>
      </c>
      <c r="J113">
        <f t="shared" si="55"/>
        <v>225</v>
      </c>
      <c r="K113">
        <f t="shared" si="56"/>
        <v>315</v>
      </c>
      <c r="L113">
        <f t="shared" si="57"/>
        <v>45</v>
      </c>
      <c r="M113">
        <f t="shared" si="58"/>
        <v>-45</v>
      </c>
      <c r="O113" t="str">
        <f t="shared" si="53"/>
        <v>[TestCase(0, 0, -1, -1, -0.707107, -0.707107)]</v>
      </c>
      <c r="P113" t="str">
        <f t="shared" si="54"/>
        <v>[TestCase(0, 0, -1, -1, 0.707107, -0.707107)]</v>
      </c>
    </row>
    <row r="114" spans="1:16" x14ac:dyDescent="0.3">
      <c r="A114">
        <v>0</v>
      </c>
      <c r="B114">
        <v>0</v>
      </c>
      <c r="C114">
        <v>0</v>
      </c>
      <c r="D114">
        <v>-1</v>
      </c>
      <c r="E114" s="24">
        <f t="shared" si="59"/>
        <v>0</v>
      </c>
      <c r="F114" s="24">
        <f t="shared" si="60"/>
        <v>-1</v>
      </c>
      <c r="G114" s="24">
        <f t="shared" si="51"/>
        <v>1</v>
      </c>
      <c r="H114" s="24">
        <f t="shared" si="52"/>
        <v>0</v>
      </c>
      <c r="I114">
        <v>270</v>
      </c>
      <c r="J114">
        <f t="shared" si="55"/>
        <v>270</v>
      </c>
      <c r="K114">
        <f t="shared" si="56"/>
        <v>0</v>
      </c>
      <c r="L114" t="e">
        <f t="shared" si="57"/>
        <v>#DIV/0!</v>
      </c>
      <c r="M114" t="e">
        <f t="shared" si="58"/>
        <v>#DIV/0!</v>
      </c>
      <c r="O114" t="str">
        <f t="shared" si="53"/>
        <v>[TestCase(0, 0, 0, -1, 0, -1)]</v>
      </c>
      <c r="P114" t="str">
        <f t="shared" si="54"/>
        <v>[TestCase(0, 0, 0, -1, 1, 0)]</v>
      </c>
    </row>
    <row r="115" spans="1:16" x14ac:dyDescent="0.3">
      <c r="A115">
        <v>0</v>
      </c>
      <c r="B115">
        <v>0</v>
      </c>
      <c r="C115">
        <v>1</v>
      </c>
      <c r="D115">
        <v>-1</v>
      </c>
      <c r="E115" s="24">
        <f t="shared" si="59"/>
        <v>0.70710678118654746</v>
      </c>
      <c r="F115" s="24">
        <f t="shared" si="60"/>
        <v>-0.70710678118654746</v>
      </c>
      <c r="G115" s="24">
        <f t="shared" si="51"/>
        <v>0.70710678118654746</v>
      </c>
      <c r="H115" s="24">
        <f t="shared" si="52"/>
        <v>0.70710678118654746</v>
      </c>
      <c r="I115">
        <v>315</v>
      </c>
      <c r="J115">
        <f t="shared" si="55"/>
        <v>315</v>
      </c>
      <c r="K115">
        <f t="shared" si="56"/>
        <v>45</v>
      </c>
      <c r="L115">
        <f t="shared" si="57"/>
        <v>-45</v>
      </c>
      <c r="M115">
        <f t="shared" si="58"/>
        <v>45</v>
      </c>
      <c r="O115" t="str">
        <f t="shared" si="53"/>
        <v>[TestCase(0, 0, 1, -1, 0.707107, -0.707107)]</v>
      </c>
      <c r="P115" t="str">
        <f t="shared" si="54"/>
        <v>[TestCase(0, 0, 1, -1, 0.707107, 0.707107)]</v>
      </c>
    </row>
    <row r="116" spans="1:16" x14ac:dyDescent="0.3">
      <c r="A116">
        <v>2</v>
      </c>
      <c r="B116">
        <v>3</v>
      </c>
      <c r="C116">
        <v>0</v>
      </c>
      <c r="D116">
        <v>0</v>
      </c>
      <c r="E116" s="24">
        <f t="shared" si="59"/>
        <v>-0.55470019622522915</v>
      </c>
      <c r="F116" s="24">
        <f t="shared" si="60"/>
        <v>-0.83205029433784372</v>
      </c>
      <c r="G116" s="24">
        <f t="shared" si="51"/>
        <v>0.83205029433784372</v>
      </c>
      <c r="H116" s="24">
        <f t="shared" si="52"/>
        <v>-0.55470019622522915</v>
      </c>
      <c r="O116" t="str">
        <f t="shared" si="53"/>
        <v>[TestCase(2, 3, 0, 0, -0.5547, -0.83205)]</v>
      </c>
      <c r="P116" t="str">
        <f t="shared" si="54"/>
        <v>[TestCase(2, 3, 0, 0, 0.83205, -0.5547)]</v>
      </c>
    </row>
    <row r="117" spans="1:16" x14ac:dyDescent="0.3">
      <c r="A117">
        <f t="shared" ref="A117:D125" si="61">A108+0.5</f>
        <v>0.5</v>
      </c>
      <c r="B117">
        <f t="shared" si="61"/>
        <v>0.5</v>
      </c>
      <c r="C117">
        <f t="shared" si="61"/>
        <v>1.5</v>
      </c>
      <c r="D117">
        <f t="shared" si="61"/>
        <v>0.5</v>
      </c>
      <c r="E117" s="24">
        <f t="shared" si="59"/>
        <v>1</v>
      </c>
      <c r="F117" s="24">
        <f t="shared" si="60"/>
        <v>0</v>
      </c>
      <c r="G117" s="24">
        <f t="shared" si="51"/>
        <v>0</v>
      </c>
      <c r="H117" s="24">
        <f t="shared" si="52"/>
        <v>1</v>
      </c>
      <c r="I117">
        <v>0</v>
      </c>
      <c r="J117">
        <f t="shared" ref="J117:J124" si="62">I117</f>
        <v>0</v>
      </c>
      <c r="K117">
        <f t="shared" ref="K117:K124" si="63">J117+90-IF(J117+90&gt;=360,360,0)</f>
        <v>90</v>
      </c>
      <c r="O117" t="str">
        <f t="shared" si="53"/>
        <v>[TestCase(0.5, 0.5, 1.5, 0.5, 1, 0)]</v>
      </c>
      <c r="P117" t="str">
        <f t="shared" si="54"/>
        <v>[TestCase(0.5, 0.5, 1.5, 0.5, 0, 1)]</v>
      </c>
    </row>
    <row r="118" spans="1:16" x14ac:dyDescent="0.3">
      <c r="A118">
        <f t="shared" si="61"/>
        <v>0.5</v>
      </c>
      <c r="B118">
        <f t="shared" si="61"/>
        <v>0.5</v>
      </c>
      <c r="C118">
        <f t="shared" si="61"/>
        <v>1.5</v>
      </c>
      <c r="D118">
        <f t="shared" si="61"/>
        <v>1.5</v>
      </c>
      <c r="E118" s="24">
        <f t="shared" si="59"/>
        <v>0.70710678118654746</v>
      </c>
      <c r="F118" s="24">
        <f t="shared" si="60"/>
        <v>0.70710678118654746</v>
      </c>
      <c r="G118" s="24">
        <f t="shared" si="51"/>
        <v>-0.70710678118654746</v>
      </c>
      <c r="H118" s="24">
        <f t="shared" si="52"/>
        <v>0.70710678118654746</v>
      </c>
      <c r="I118">
        <v>45</v>
      </c>
      <c r="J118">
        <f t="shared" si="62"/>
        <v>45</v>
      </c>
      <c r="K118">
        <f t="shared" si="63"/>
        <v>135</v>
      </c>
      <c r="O118" t="str">
        <f t="shared" si="53"/>
        <v>[TestCase(0.5, 0.5, 1.5, 1.5, 0.707107, 0.707107)]</v>
      </c>
      <c r="P118" t="str">
        <f t="shared" si="54"/>
        <v>[TestCase(0.5, 0.5, 1.5, 1.5, -0.707107, 0.707107)]</v>
      </c>
    </row>
    <row r="119" spans="1:16" x14ac:dyDescent="0.3">
      <c r="A119">
        <f t="shared" si="61"/>
        <v>0.5</v>
      </c>
      <c r="B119">
        <f t="shared" si="61"/>
        <v>0.5</v>
      </c>
      <c r="C119">
        <f t="shared" si="61"/>
        <v>0.5</v>
      </c>
      <c r="D119">
        <f t="shared" si="61"/>
        <v>1.5</v>
      </c>
      <c r="E119" s="24">
        <f t="shared" si="59"/>
        <v>0</v>
      </c>
      <c r="F119" s="24">
        <f t="shared" si="60"/>
        <v>1</v>
      </c>
      <c r="G119" s="24">
        <f t="shared" si="51"/>
        <v>-1</v>
      </c>
      <c r="H119" s="24">
        <f t="shared" si="52"/>
        <v>0</v>
      </c>
      <c r="I119">
        <v>90</v>
      </c>
      <c r="J119">
        <f t="shared" si="62"/>
        <v>90</v>
      </c>
      <c r="K119">
        <f t="shared" si="63"/>
        <v>180</v>
      </c>
      <c r="O119" t="str">
        <f t="shared" si="53"/>
        <v>[TestCase(0.5, 0.5, 0.5, 1.5, 0, 1)]</v>
      </c>
      <c r="P119" t="str">
        <f t="shared" si="54"/>
        <v>[TestCase(0.5, 0.5, 0.5, 1.5, -1, 0)]</v>
      </c>
    </row>
    <row r="120" spans="1:16" x14ac:dyDescent="0.3">
      <c r="A120">
        <f t="shared" si="61"/>
        <v>0.5</v>
      </c>
      <c r="B120">
        <f t="shared" si="61"/>
        <v>0.5</v>
      </c>
      <c r="C120">
        <f t="shared" si="61"/>
        <v>-0.5</v>
      </c>
      <c r="D120">
        <f t="shared" si="61"/>
        <v>1.5</v>
      </c>
      <c r="E120" s="24">
        <f t="shared" si="59"/>
        <v>-0.70710678118654746</v>
      </c>
      <c r="F120" s="24">
        <f t="shared" si="60"/>
        <v>0.70710678118654746</v>
      </c>
      <c r="G120" s="24">
        <f t="shared" si="51"/>
        <v>-0.70710678118654746</v>
      </c>
      <c r="H120" s="24">
        <f t="shared" si="52"/>
        <v>-0.70710678118654746</v>
      </c>
      <c r="I120">
        <v>135</v>
      </c>
      <c r="J120">
        <f t="shared" si="62"/>
        <v>135</v>
      </c>
      <c r="K120">
        <f t="shared" si="63"/>
        <v>225</v>
      </c>
      <c r="O120" t="str">
        <f t="shared" si="53"/>
        <v>[TestCase(0.5, 0.5, -0.5, 1.5, -0.707107, 0.707107)]</v>
      </c>
      <c r="P120" t="str">
        <f t="shared" si="54"/>
        <v>[TestCase(0.5, 0.5, -0.5, 1.5, -0.707107, -0.707107)]</v>
      </c>
    </row>
    <row r="121" spans="1:16" x14ac:dyDescent="0.3">
      <c r="A121">
        <f t="shared" si="61"/>
        <v>0.5</v>
      </c>
      <c r="B121">
        <f t="shared" si="61"/>
        <v>0.5</v>
      </c>
      <c r="C121">
        <f t="shared" si="61"/>
        <v>-0.5</v>
      </c>
      <c r="D121">
        <f t="shared" si="61"/>
        <v>0.5</v>
      </c>
      <c r="E121" s="24">
        <f t="shared" si="59"/>
        <v>-1</v>
      </c>
      <c r="F121" s="24">
        <f t="shared" si="60"/>
        <v>0</v>
      </c>
      <c r="G121" s="24">
        <f t="shared" si="51"/>
        <v>0</v>
      </c>
      <c r="H121" s="24">
        <f t="shared" si="52"/>
        <v>-1</v>
      </c>
      <c r="I121">
        <v>180</v>
      </c>
      <c r="J121">
        <f t="shared" si="62"/>
        <v>180</v>
      </c>
      <c r="K121">
        <f t="shared" si="63"/>
        <v>270</v>
      </c>
      <c r="O121" t="str">
        <f t="shared" si="53"/>
        <v>[TestCase(0.5, 0.5, -0.5, 0.5, -1, 0)]</v>
      </c>
      <c r="P121" t="str">
        <f t="shared" si="54"/>
        <v>[TestCase(0.5, 0.5, -0.5, 0.5, 0, -1)]</v>
      </c>
    </row>
    <row r="122" spans="1:16" x14ac:dyDescent="0.3">
      <c r="A122">
        <f t="shared" si="61"/>
        <v>0.5</v>
      </c>
      <c r="B122">
        <f t="shared" si="61"/>
        <v>0.5</v>
      </c>
      <c r="C122">
        <f t="shared" si="61"/>
        <v>-0.5</v>
      </c>
      <c r="D122">
        <f t="shared" si="61"/>
        <v>-0.5</v>
      </c>
      <c r="E122" s="24">
        <f t="shared" si="59"/>
        <v>-0.70710678118654746</v>
      </c>
      <c r="F122" s="24">
        <f t="shared" si="60"/>
        <v>-0.70710678118654746</v>
      </c>
      <c r="G122" s="24">
        <f t="shared" si="51"/>
        <v>0.70710678118654746</v>
      </c>
      <c r="H122" s="24">
        <f t="shared" si="52"/>
        <v>-0.70710678118654746</v>
      </c>
      <c r="I122">
        <v>225</v>
      </c>
      <c r="J122">
        <f t="shared" si="62"/>
        <v>225</v>
      </c>
      <c r="K122">
        <f t="shared" si="63"/>
        <v>315</v>
      </c>
      <c r="O122" t="str">
        <f t="shared" si="53"/>
        <v>[TestCase(0.5, 0.5, -0.5, -0.5, -0.707107, -0.707107)]</v>
      </c>
      <c r="P122" t="str">
        <f t="shared" si="54"/>
        <v>[TestCase(0.5, 0.5, -0.5, -0.5, 0.707107, -0.707107)]</v>
      </c>
    </row>
    <row r="123" spans="1:16" x14ac:dyDescent="0.3">
      <c r="A123">
        <f t="shared" si="61"/>
        <v>0.5</v>
      </c>
      <c r="B123">
        <f t="shared" si="61"/>
        <v>0.5</v>
      </c>
      <c r="C123">
        <f t="shared" si="61"/>
        <v>0.5</v>
      </c>
      <c r="D123">
        <f t="shared" si="61"/>
        <v>-0.5</v>
      </c>
      <c r="E123" s="24">
        <f t="shared" si="59"/>
        <v>0</v>
      </c>
      <c r="F123" s="24">
        <f t="shared" si="60"/>
        <v>-1</v>
      </c>
      <c r="G123" s="24">
        <f t="shared" si="51"/>
        <v>1</v>
      </c>
      <c r="H123" s="24">
        <f t="shared" si="52"/>
        <v>0</v>
      </c>
      <c r="I123">
        <v>270</v>
      </c>
      <c r="J123">
        <f t="shared" si="62"/>
        <v>270</v>
      </c>
      <c r="K123">
        <f t="shared" si="63"/>
        <v>0</v>
      </c>
      <c r="O123" t="str">
        <f t="shared" si="53"/>
        <v>[TestCase(0.5, 0.5, 0.5, -0.5, 0, -1)]</v>
      </c>
      <c r="P123" t="str">
        <f t="shared" si="54"/>
        <v>[TestCase(0.5, 0.5, 0.5, -0.5, 1, 0)]</v>
      </c>
    </row>
    <row r="124" spans="1:16" x14ac:dyDescent="0.3">
      <c r="A124">
        <f t="shared" si="61"/>
        <v>0.5</v>
      </c>
      <c r="B124">
        <f t="shared" si="61"/>
        <v>0.5</v>
      </c>
      <c r="C124">
        <f t="shared" si="61"/>
        <v>1.5</v>
      </c>
      <c r="D124">
        <f t="shared" si="61"/>
        <v>-0.5</v>
      </c>
      <c r="E124" s="24">
        <f t="shared" si="59"/>
        <v>0.70710678118654746</v>
      </c>
      <c r="F124" s="24">
        <f t="shared" si="60"/>
        <v>-0.70710678118654746</v>
      </c>
      <c r="G124" s="24">
        <f t="shared" si="51"/>
        <v>0.70710678118654746</v>
      </c>
      <c r="H124" s="24">
        <f t="shared" si="52"/>
        <v>0.70710678118654746</v>
      </c>
      <c r="I124">
        <v>315</v>
      </c>
      <c r="J124">
        <f t="shared" si="62"/>
        <v>315</v>
      </c>
      <c r="K124">
        <f t="shared" si="63"/>
        <v>45</v>
      </c>
      <c r="O124" t="str">
        <f t="shared" si="53"/>
        <v>[TestCase(0.5, 0.5, 1.5, -0.5, 0.707107, -0.707107)]</v>
      </c>
      <c r="P124" t="str">
        <f t="shared" si="54"/>
        <v>[TestCase(0.5, 0.5, 1.5, -0.5, 0.707107, 0.707107)]</v>
      </c>
    </row>
    <row r="125" spans="1:16" x14ac:dyDescent="0.3">
      <c r="A125">
        <f t="shared" si="61"/>
        <v>2.5</v>
      </c>
      <c r="B125">
        <f t="shared" si="61"/>
        <v>3.5</v>
      </c>
      <c r="C125">
        <f t="shared" si="61"/>
        <v>0.5</v>
      </c>
      <c r="D125">
        <f t="shared" si="61"/>
        <v>0.5</v>
      </c>
      <c r="E125" s="24">
        <f t="shared" si="59"/>
        <v>-0.55470019622522915</v>
      </c>
      <c r="F125" s="24">
        <f t="shared" si="60"/>
        <v>-0.83205029433784372</v>
      </c>
      <c r="G125" s="24">
        <f t="shared" si="51"/>
        <v>0.83205029433784372</v>
      </c>
      <c r="H125" s="24">
        <f t="shared" si="52"/>
        <v>-0.55470019622522915</v>
      </c>
      <c r="O125" t="str">
        <f t="shared" si="53"/>
        <v>[TestCase(2.5, 3.5, 0.5, 0.5, -0.5547, -0.83205)]</v>
      </c>
      <c r="P125" t="str">
        <f t="shared" si="54"/>
        <v>[TestCase(2.5, 3.5, 0.5, 0.5, 0.83205, -0.5547)]</v>
      </c>
    </row>
  </sheetData>
  <mergeCells count="2">
    <mergeCell ref="E104:F104"/>
    <mergeCell ref="G104:H10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E11E1-220A-447B-A3F4-1C24A01EFBA2}">
  <sheetPr codeName="Sheet7"/>
  <dimension ref="A1:I58"/>
  <sheetViews>
    <sheetView topLeftCell="A34" workbookViewId="0">
      <selection activeCell="M55" sqref="M55"/>
    </sheetView>
  </sheetViews>
  <sheetFormatPr defaultRowHeight="14.4" x14ac:dyDescent="0.3"/>
  <cols>
    <col min="1" max="1" width="11.6640625" customWidth="1"/>
    <col min="2" max="2" width="12" customWidth="1"/>
    <col min="3" max="3" width="16.21875" customWidth="1"/>
    <col min="5" max="5" width="16.33203125" customWidth="1"/>
  </cols>
  <sheetData>
    <row r="1" spans="1:6" s="2" customFormat="1" x14ac:dyDescent="0.3">
      <c r="A1" s="2" t="s">
        <v>6</v>
      </c>
    </row>
    <row r="2" spans="1:6" x14ac:dyDescent="0.3">
      <c r="A2" s="6" t="s">
        <v>16</v>
      </c>
      <c r="B2" s="6" t="s">
        <v>15</v>
      </c>
      <c r="C2" s="6" t="s">
        <v>14</v>
      </c>
      <c r="D2" s="6" t="s">
        <v>17</v>
      </c>
      <c r="E2" s="6" t="s">
        <v>12</v>
      </c>
      <c r="F2" s="6" t="s">
        <v>13</v>
      </c>
    </row>
    <row r="3" spans="1:6" x14ac:dyDescent="0.3">
      <c r="A3">
        <v>0</v>
      </c>
      <c r="B3">
        <v>0</v>
      </c>
      <c r="C3">
        <v>0</v>
      </c>
      <c r="D3">
        <v>0</v>
      </c>
      <c r="E3">
        <f>A3-C3</f>
        <v>0</v>
      </c>
      <c r="F3">
        <f>B3-D3</f>
        <v>0</v>
      </c>
    </row>
    <row r="4" spans="1:6" x14ac:dyDescent="0.3">
      <c r="A4">
        <v>1</v>
      </c>
      <c r="B4">
        <v>2</v>
      </c>
      <c r="C4">
        <v>3</v>
      </c>
      <c r="D4">
        <v>4</v>
      </c>
      <c r="E4">
        <f t="shared" ref="E4:E6" si="0">A4-C4</f>
        <v>-2</v>
      </c>
      <c r="F4">
        <f t="shared" ref="F4:F7" si="1">B4-D4</f>
        <v>-2</v>
      </c>
    </row>
    <row r="5" spans="1:6" x14ac:dyDescent="0.3">
      <c r="A5">
        <v>1</v>
      </c>
      <c r="B5">
        <v>2</v>
      </c>
      <c r="C5">
        <v>-1</v>
      </c>
      <c r="D5">
        <v>-2</v>
      </c>
      <c r="E5">
        <f t="shared" si="0"/>
        <v>2</v>
      </c>
      <c r="F5">
        <f t="shared" si="1"/>
        <v>4</v>
      </c>
    </row>
    <row r="6" spans="1:6" x14ac:dyDescent="0.3">
      <c r="A6">
        <v>1</v>
      </c>
      <c r="B6">
        <v>-2</v>
      </c>
      <c r="C6">
        <v>-2</v>
      </c>
      <c r="D6">
        <v>4</v>
      </c>
      <c r="E6">
        <f t="shared" si="0"/>
        <v>3</v>
      </c>
      <c r="F6">
        <f t="shared" si="1"/>
        <v>-6</v>
      </c>
    </row>
    <row r="7" spans="1:6" x14ac:dyDescent="0.3">
      <c r="A7">
        <v>-3</v>
      </c>
      <c r="B7">
        <v>2</v>
      </c>
      <c r="C7">
        <v>-2</v>
      </c>
      <c r="D7">
        <v>-4</v>
      </c>
      <c r="E7">
        <f>A7-C7</f>
        <v>-1</v>
      </c>
      <c r="F7">
        <f t="shared" si="1"/>
        <v>6</v>
      </c>
    </row>
    <row r="8" spans="1:6" x14ac:dyDescent="0.3">
      <c r="A8">
        <v>-3</v>
      </c>
      <c r="B8">
        <v>2</v>
      </c>
      <c r="C8">
        <v>-3</v>
      </c>
      <c r="D8">
        <v>2</v>
      </c>
      <c r="E8">
        <f>A8-C8</f>
        <v>0</v>
      </c>
      <c r="F8">
        <f t="shared" ref="F8" si="2">B8-D8</f>
        <v>0</v>
      </c>
    </row>
    <row r="9" spans="1:6" s="2" customFormat="1" x14ac:dyDescent="0.3">
      <c r="A9" s="2" t="s">
        <v>5</v>
      </c>
    </row>
    <row r="10" spans="1:6" x14ac:dyDescent="0.3">
      <c r="A10" s="6" t="s">
        <v>16</v>
      </c>
      <c r="B10" s="6" t="s">
        <v>15</v>
      </c>
      <c r="C10" s="6" t="s">
        <v>14</v>
      </c>
      <c r="D10" s="6" t="s">
        <v>17</v>
      </c>
      <c r="E10" s="6" t="s">
        <v>12</v>
      </c>
      <c r="F10" s="6" t="s">
        <v>13</v>
      </c>
    </row>
    <row r="11" spans="1:6" x14ac:dyDescent="0.3">
      <c r="A11">
        <v>0</v>
      </c>
      <c r="B11">
        <v>0</v>
      </c>
      <c r="C11">
        <v>0</v>
      </c>
      <c r="D11">
        <v>0</v>
      </c>
      <c r="E11">
        <f t="shared" ref="E11:F16" si="3">A11+C11</f>
        <v>0</v>
      </c>
      <c r="F11">
        <f t="shared" si="3"/>
        <v>0</v>
      </c>
    </row>
    <row r="12" spans="1:6" x14ac:dyDescent="0.3">
      <c r="A12">
        <v>1</v>
      </c>
      <c r="B12">
        <v>2</v>
      </c>
      <c r="C12">
        <v>3</v>
      </c>
      <c r="D12">
        <v>4</v>
      </c>
      <c r="E12">
        <f t="shared" si="3"/>
        <v>4</v>
      </c>
      <c r="F12">
        <f t="shared" si="3"/>
        <v>6</v>
      </c>
    </row>
    <row r="13" spans="1:6" x14ac:dyDescent="0.3">
      <c r="A13">
        <v>1</v>
      </c>
      <c r="B13">
        <v>2</v>
      </c>
      <c r="C13">
        <v>-1</v>
      </c>
      <c r="D13">
        <v>-2</v>
      </c>
      <c r="E13">
        <f t="shared" si="3"/>
        <v>0</v>
      </c>
      <c r="F13">
        <f t="shared" si="3"/>
        <v>0</v>
      </c>
    </row>
    <row r="14" spans="1:6" x14ac:dyDescent="0.3">
      <c r="A14">
        <v>1</v>
      </c>
      <c r="B14">
        <v>-2</v>
      </c>
      <c r="C14">
        <v>-2</v>
      </c>
      <c r="D14">
        <v>4</v>
      </c>
      <c r="E14">
        <f t="shared" si="3"/>
        <v>-1</v>
      </c>
      <c r="F14">
        <f t="shared" si="3"/>
        <v>2</v>
      </c>
    </row>
    <row r="15" spans="1:6" x14ac:dyDescent="0.3">
      <c r="A15">
        <v>-1</v>
      </c>
      <c r="B15">
        <v>2</v>
      </c>
      <c r="C15">
        <v>-2</v>
      </c>
      <c r="D15">
        <v>-4</v>
      </c>
      <c r="E15">
        <f t="shared" si="3"/>
        <v>-3</v>
      </c>
      <c r="F15">
        <f t="shared" si="3"/>
        <v>-2</v>
      </c>
    </row>
    <row r="16" spans="1:6" x14ac:dyDescent="0.3">
      <c r="A16">
        <v>-1</v>
      </c>
      <c r="B16">
        <v>2</v>
      </c>
      <c r="C16">
        <v>2</v>
      </c>
      <c r="D16">
        <v>-4</v>
      </c>
      <c r="E16">
        <f t="shared" si="3"/>
        <v>1</v>
      </c>
      <c r="F16">
        <f t="shared" si="3"/>
        <v>-2</v>
      </c>
    </row>
    <row r="17" spans="1:5" s="2" customFormat="1" x14ac:dyDescent="0.3">
      <c r="A17" s="2" t="s">
        <v>7</v>
      </c>
    </row>
    <row r="18" spans="1:5" x14ac:dyDescent="0.3">
      <c r="A18" s="6" t="s">
        <v>9</v>
      </c>
      <c r="B18" s="6" t="s">
        <v>10</v>
      </c>
      <c r="C18" s="6" t="s">
        <v>11</v>
      </c>
      <c r="D18" s="6" t="s">
        <v>12</v>
      </c>
      <c r="E18" s="6" t="s">
        <v>13</v>
      </c>
    </row>
    <row r="19" spans="1:5" x14ac:dyDescent="0.3">
      <c r="A19" s="7">
        <v>0</v>
      </c>
      <c r="B19" s="7">
        <v>0</v>
      </c>
      <c r="C19" s="7">
        <v>0</v>
      </c>
      <c r="D19">
        <f t="shared" ref="D19:E21" si="4">A19*$C19</f>
        <v>0</v>
      </c>
      <c r="E19">
        <f t="shared" si="4"/>
        <v>0</v>
      </c>
    </row>
    <row r="20" spans="1:5" x14ac:dyDescent="0.3">
      <c r="A20" s="7">
        <v>0</v>
      </c>
      <c r="B20" s="7">
        <v>0</v>
      </c>
      <c r="C20" s="7">
        <v>2</v>
      </c>
      <c r="D20">
        <f t="shared" si="4"/>
        <v>0</v>
      </c>
      <c r="E20">
        <f t="shared" si="4"/>
        <v>0</v>
      </c>
    </row>
    <row r="21" spans="1:5" x14ac:dyDescent="0.3">
      <c r="A21">
        <v>2</v>
      </c>
      <c r="B21">
        <v>3</v>
      </c>
      <c r="C21">
        <v>0</v>
      </c>
      <c r="D21">
        <f t="shared" si="4"/>
        <v>0</v>
      </c>
      <c r="E21">
        <f t="shared" si="4"/>
        <v>0</v>
      </c>
    </row>
    <row r="22" spans="1:5" x14ac:dyDescent="0.3">
      <c r="A22">
        <v>2</v>
      </c>
      <c r="B22">
        <v>3</v>
      </c>
      <c r="C22">
        <v>1</v>
      </c>
      <c r="D22">
        <f t="shared" ref="D22:D25" si="5">A22*$C22</f>
        <v>2</v>
      </c>
      <c r="E22">
        <f t="shared" ref="E22:E25" si="6">B22*$C22</f>
        <v>3</v>
      </c>
    </row>
    <row r="23" spans="1:5" x14ac:dyDescent="0.3">
      <c r="A23">
        <v>2</v>
      </c>
      <c r="B23">
        <v>3</v>
      </c>
      <c r="C23">
        <v>-1</v>
      </c>
      <c r="D23">
        <f t="shared" si="5"/>
        <v>-2</v>
      </c>
      <c r="E23">
        <f t="shared" si="6"/>
        <v>-3</v>
      </c>
    </row>
    <row r="24" spans="1:5" x14ac:dyDescent="0.3">
      <c r="A24">
        <v>2</v>
      </c>
      <c r="B24">
        <v>3</v>
      </c>
      <c r="C24">
        <v>3.2</v>
      </c>
      <c r="D24">
        <f t="shared" si="5"/>
        <v>6.4</v>
      </c>
      <c r="E24">
        <f t="shared" si="6"/>
        <v>9.6000000000000014</v>
      </c>
    </row>
    <row r="25" spans="1:5" x14ac:dyDescent="0.3">
      <c r="A25">
        <v>2</v>
      </c>
      <c r="B25">
        <v>3</v>
      </c>
      <c r="C25">
        <v>-1.2</v>
      </c>
      <c r="D25">
        <f t="shared" si="5"/>
        <v>-2.4</v>
      </c>
      <c r="E25">
        <f t="shared" si="6"/>
        <v>-3.5999999999999996</v>
      </c>
    </row>
    <row r="26" spans="1:5" s="2" customFormat="1" x14ac:dyDescent="0.3">
      <c r="A26" s="2" t="s">
        <v>8</v>
      </c>
    </row>
    <row r="27" spans="1:5" x14ac:dyDescent="0.3">
      <c r="A27" s="6" t="s">
        <v>9</v>
      </c>
      <c r="B27" s="6" t="s">
        <v>10</v>
      </c>
      <c r="C27" s="6" t="s">
        <v>11</v>
      </c>
      <c r="D27" s="6" t="s">
        <v>12</v>
      </c>
      <c r="E27" s="6" t="s">
        <v>13</v>
      </c>
    </row>
    <row r="28" spans="1:5" x14ac:dyDescent="0.3">
      <c r="A28" s="7">
        <v>0</v>
      </c>
      <c r="B28" s="7">
        <v>0</v>
      </c>
      <c r="C28" s="7">
        <v>0</v>
      </c>
      <c r="D28" t="e">
        <f t="shared" ref="D28:E34" si="7">A28/$C28</f>
        <v>#DIV/0!</v>
      </c>
      <c r="E28" t="e">
        <f t="shared" si="7"/>
        <v>#DIV/0!</v>
      </c>
    </row>
    <row r="29" spans="1:5" x14ac:dyDescent="0.3">
      <c r="A29">
        <v>2</v>
      </c>
      <c r="B29">
        <v>3</v>
      </c>
      <c r="C29">
        <v>0</v>
      </c>
      <c r="D29" t="e">
        <f t="shared" si="7"/>
        <v>#DIV/0!</v>
      </c>
      <c r="E29" t="e">
        <f t="shared" si="7"/>
        <v>#DIV/0!</v>
      </c>
    </row>
    <row r="30" spans="1:5" x14ac:dyDescent="0.3">
      <c r="A30" s="7">
        <v>0</v>
      </c>
      <c r="B30" s="7">
        <v>0</v>
      </c>
      <c r="C30" s="7">
        <v>2</v>
      </c>
      <c r="D30">
        <f t="shared" si="7"/>
        <v>0</v>
      </c>
      <c r="E30">
        <f t="shared" si="7"/>
        <v>0</v>
      </c>
    </row>
    <row r="31" spans="1:5" x14ac:dyDescent="0.3">
      <c r="A31">
        <v>2</v>
      </c>
      <c r="B31">
        <v>3</v>
      </c>
      <c r="C31">
        <v>1</v>
      </c>
      <c r="D31">
        <f t="shared" si="7"/>
        <v>2</v>
      </c>
      <c r="E31">
        <f t="shared" si="7"/>
        <v>3</v>
      </c>
    </row>
    <row r="32" spans="1:5" x14ac:dyDescent="0.3">
      <c r="A32">
        <v>2</v>
      </c>
      <c r="B32">
        <v>3</v>
      </c>
      <c r="C32">
        <v>-1</v>
      </c>
      <c r="D32">
        <f t="shared" si="7"/>
        <v>-2</v>
      </c>
      <c r="E32">
        <f t="shared" si="7"/>
        <v>-3</v>
      </c>
    </row>
    <row r="33" spans="1:7" x14ac:dyDescent="0.3">
      <c r="A33">
        <v>2</v>
      </c>
      <c r="B33">
        <v>3</v>
      </c>
      <c r="C33">
        <v>2</v>
      </c>
      <c r="D33">
        <f t="shared" si="7"/>
        <v>1</v>
      </c>
      <c r="E33">
        <f t="shared" si="7"/>
        <v>1.5</v>
      </c>
    </row>
    <row r="34" spans="1:7" x14ac:dyDescent="0.3">
      <c r="A34">
        <v>2</v>
      </c>
      <c r="B34">
        <v>3</v>
      </c>
      <c r="C34">
        <v>-2</v>
      </c>
      <c r="D34">
        <f t="shared" si="7"/>
        <v>-1</v>
      </c>
      <c r="E34">
        <f t="shared" si="7"/>
        <v>-1.5</v>
      </c>
    </row>
    <row r="36" spans="1:7" s="2" customFormat="1" x14ac:dyDescent="0.3">
      <c r="A36" s="2" t="s">
        <v>179</v>
      </c>
    </row>
    <row r="37" spans="1:7" x14ac:dyDescent="0.3">
      <c r="A37" s="6" t="s">
        <v>141</v>
      </c>
      <c r="B37" s="6" t="s">
        <v>142</v>
      </c>
      <c r="C37" s="6" t="s">
        <v>143</v>
      </c>
      <c r="D37" s="6" t="s">
        <v>144</v>
      </c>
      <c r="E37" s="6" t="s">
        <v>145</v>
      </c>
    </row>
    <row r="38" spans="1:7" x14ac:dyDescent="0.3">
      <c r="A38">
        <v>3</v>
      </c>
      <c r="B38">
        <v>4</v>
      </c>
      <c r="C38">
        <v>0</v>
      </c>
      <c r="D38">
        <f>A38*COS(C38)-B38*SIN(C38)</f>
        <v>3</v>
      </c>
      <c r="E38">
        <f>A38*SIN(C38)+B38*COS(C38)</f>
        <v>4</v>
      </c>
      <c r="G38" t="str">
        <f>"[TestCase("&amp;A38&amp;","&amp;B38&amp;","&amp;ROUND(C38,6)&amp;","&amp;ROUND(D38,6)&amp;","&amp;ROUND(E38,6)&amp;")]"</f>
        <v>[TestCase(3,4,0,3,4)]</v>
      </c>
    </row>
    <row r="39" spans="1:7" x14ac:dyDescent="0.3">
      <c r="A39">
        <v>3</v>
      </c>
      <c r="B39">
        <v>4</v>
      </c>
      <c r="C39">
        <f>PI()/4</f>
        <v>0.78539816339744828</v>
      </c>
      <c r="D39">
        <f>A39*COS(C39)-B39*SIN(C39)</f>
        <v>-0.70710678118654702</v>
      </c>
      <c r="E39">
        <f t="shared" ref="E39:E46" si="8">A39*SIN(C39)+B39*COS(C39)</f>
        <v>4.9497474683058327</v>
      </c>
      <c r="G39" t="str">
        <f t="shared" ref="G39:G46" si="9">"[TestCase("&amp;A39&amp;","&amp;B39&amp;","&amp;ROUND(C39,6)&amp;","&amp;ROUND(D39,6)&amp;","&amp;ROUND(E39,6)&amp;")]"</f>
        <v>[TestCase(3,4,0.785398,-0.707107,4.949747)]</v>
      </c>
    </row>
    <row r="40" spans="1:7" x14ac:dyDescent="0.3">
      <c r="A40">
        <v>3</v>
      </c>
      <c r="B40">
        <v>4</v>
      </c>
      <c r="C40">
        <f>PI()/2</f>
        <v>1.5707963267948966</v>
      </c>
      <c r="D40">
        <f t="shared" ref="D40:D46" si="10">A40*COS(C40)-B40*SIN(C40)</f>
        <v>-4</v>
      </c>
      <c r="E40">
        <f t="shared" si="8"/>
        <v>3.0000000000000004</v>
      </c>
      <c r="G40" t="str">
        <f t="shared" si="9"/>
        <v>[TestCase(3,4,1.570796,-4,3)]</v>
      </c>
    </row>
    <row r="41" spans="1:7" x14ac:dyDescent="0.3">
      <c r="A41">
        <v>3</v>
      </c>
      <c r="B41">
        <v>4</v>
      </c>
      <c r="C41">
        <f>(3/4)*PI()</f>
        <v>2.3561944901923448</v>
      </c>
      <c r="D41">
        <f t="shared" si="10"/>
        <v>-4.9497474683058327</v>
      </c>
      <c r="E41">
        <f t="shared" si="8"/>
        <v>-0.70710678118654702</v>
      </c>
      <c r="G41" t="str">
        <f t="shared" si="9"/>
        <v>[TestCase(3,4,2.356194,-4.949747,-0.707107)]</v>
      </c>
    </row>
    <row r="42" spans="1:7" x14ac:dyDescent="0.3">
      <c r="A42">
        <v>3</v>
      </c>
      <c r="B42">
        <v>4</v>
      </c>
      <c r="C42">
        <f>PI()</f>
        <v>3.1415926535897931</v>
      </c>
      <c r="D42">
        <f t="shared" si="10"/>
        <v>-3.0000000000000004</v>
      </c>
      <c r="E42">
        <f t="shared" si="8"/>
        <v>-3.9999999999999996</v>
      </c>
      <c r="G42" t="str">
        <f t="shared" si="9"/>
        <v>[TestCase(3,4,3.141593,-3,-4)]</v>
      </c>
    </row>
    <row r="43" spans="1:7" x14ac:dyDescent="0.3">
      <c r="A43">
        <v>3</v>
      </c>
      <c r="B43">
        <v>4</v>
      </c>
      <c r="C43">
        <f>(5/4)*PI()</f>
        <v>3.9269908169872414</v>
      </c>
      <c r="D43">
        <f t="shared" si="10"/>
        <v>0.70710678118654702</v>
      </c>
      <c r="E43">
        <f t="shared" si="8"/>
        <v>-4.9497474683058336</v>
      </c>
      <c r="G43" t="str">
        <f t="shared" si="9"/>
        <v>[TestCase(3,4,3.926991,0.707107,-4.949747)]</v>
      </c>
    </row>
    <row r="44" spans="1:7" x14ac:dyDescent="0.3">
      <c r="A44">
        <v>3</v>
      </c>
      <c r="B44">
        <v>4</v>
      </c>
      <c r="C44">
        <f>(3/2)*PI()</f>
        <v>4.7123889803846897</v>
      </c>
      <c r="D44">
        <f t="shared" si="10"/>
        <v>3.9999999999999996</v>
      </c>
      <c r="E44">
        <f t="shared" si="8"/>
        <v>-3.0000000000000009</v>
      </c>
      <c r="G44" t="str">
        <f t="shared" si="9"/>
        <v>[TestCase(3,4,4.712389,4,-3)]</v>
      </c>
    </row>
    <row r="45" spans="1:7" x14ac:dyDescent="0.3">
      <c r="A45">
        <v>3</v>
      </c>
      <c r="B45">
        <v>4</v>
      </c>
      <c r="C45">
        <f>(7/4)*PI()</f>
        <v>5.497787143782138</v>
      </c>
      <c r="D45">
        <f t="shared" si="10"/>
        <v>4.9497474683058327</v>
      </c>
      <c r="E45">
        <f t="shared" si="8"/>
        <v>0.70710678118654657</v>
      </c>
      <c r="G45" t="str">
        <f t="shared" si="9"/>
        <v>[TestCase(3,4,5.497787,4.949747,0.707107)]</v>
      </c>
    </row>
    <row r="46" spans="1:7" x14ac:dyDescent="0.3">
      <c r="A46">
        <v>3</v>
      </c>
      <c r="B46">
        <v>4</v>
      </c>
      <c r="C46">
        <f>2*PI()</f>
        <v>6.2831853071795862</v>
      </c>
      <c r="D46">
        <f t="shared" si="10"/>
        <v>3.0000000000000009</v>
      </c>
      <c r="E46">
        <f t="shared" si="8"/>
        <v>3.9999999999999991</v>
      </c>
      <c r="G46" t="str">
        <f t="shared" si="9"/>
        <v>[TestCase(3,4,6.283185,3,4)]</v>
      </c>
    </row>
    <row r="48" spans="1:7" s="2" customFormat="1" x14ac:dyDescent="0.3">
      <c r="A48" s="2" t="s">
        <v>180</v>
      </c>
    </row>
    <row r="49" spans="1:9" x14ac:dyDescent="0.3">
      <c r="A49" s="6" t="s">
        <v>9</v>
      </c>
      <c r="B49" s="6" t="s">
        <v>10</v>
      </c>
      <c r="C49" s="6" t="s">
        <v>181</v>
      </c>
      <c r="D49" s="6" t="s">
        <v>182</v>
      </c>
      <c r="E49" s="6" t="s">
        <v>143</v>
      </c>
      <c r="F49" s="6" t="s">
        <v>144</v>
      </c>
      <c r="G49" s="6" t="s">
        <v>145</v>
      </c>
    </row>
    <row r="50" spans="1:9" x14ac:dyDescent="0.3">
      <c r="A50">
        <v>3</v>
      </c>
      <c r="B50">
        <v>4</v>
      </c>
      <c r="C50">
        <v>2</v>
      </c>
      <c r="D50">
        <v>1</v>
      </c>
      <c r="E50">
        <v>0</v>
      </c>
      <c r="F50">
        <f>((A50-C50)*COS(E50)-(B50-D50)*SIN(E50))+C50</f>
        <v>3</v>
      </c>
      <c r="G50">
        <f>((A50-C50)*SIN(E50)+(B50-D50)*COS(E50))+D50</f>
        <v>4</v>
      </c>
      <c r="I50" t="str">
        <f>"[TestCase("&amp;A50&amp;","&amp;B50&amp;","&amp;C50&amp;","&amp;D50&amp;","&amp;ROUND(E50,6)&amp;","&amp;ROUND(F50,6)&amp;","&amp;ROUND(G50,6)&amp;")]"</f>
        <v>[TestCase(3,4,2,1,0,3,4)]</v>
      </c>
    </row>
    <row r="51" spans="1:9" x14ac:dyDescent="0.3">
      <c r="A51">
        <v>3</v>
      </c>
      <c r="B51">
        <v>4</v>
      </c>
      <c r="C51">
        <v>2</v>
      </c>
      <c r="D51">
        <v>1</v>
      </c>
      <c r="E51">
        <f>PI()/4</f>
        <v>0.78539816339744828</v>
      </c>
      <c r="F51">
        <f t="shared" ref="F51:F58" si="11">((A51-C51)*COS(E51)-(B51-D51)*SIN(E51))+C51</f>
        <v>0.58578643762690508</v>
      </c>
      <c r="G51">
        <f t="shared" ref="G51:G58" si="12">((A51-C51)*SIN(E51)+(B51-D51)*COS(E51))+D51</f>
        <v>3.8284271247461903</v>
      </c>
      <c r="I51" t="str">
        <f t="shared" ref="I51:I58" si="13">"[TestCase("&amp;A51&amp;","&amp;B51&amp;","&amp;C51&amp;","&amp;D51&amp;","&amp;ROUND(E51,6)&amp;","&amp;ROUND(F51,6)&amp;","&amp;ROUND(G51,6)&amp;")]"</f>
        <v>[TestCase(3,4,2,1,0.785398,0.585786,3.828427)]</v>
      </c>
    </row>
    <row r="52" spans="1:9" x14ac:dyDescent="0.3">
      <c r="A52">
        <v>3</v>
      </c>
      <c r="B52">
        <v>4</v>
      </c>
      <c r="C52">
        <v>2</v>
      </c>
      <c r="D52">
        <v>1</v>
      </c>
      <c r="E52">
        <f>PI()/2</f>
        <v>1.5707963267948966</v>
      </c>
      <c r="F52">
        <f t="shared" si="11"/>
        <v>-1</v>
      </c>
      <c r="G52">
        <f t="shared" si="12"/>
        <v>2</v>
      </c>
      <c r="I52" t="str">
        <f t="shared" si="13"/>
        <v>[TestCase(3,4,2,1,1.570796,-1,2)]</v>
      </c>
    </row>
    <row r="53" spans="1:9" x14ac:dyDescent="0.3">
      <c r="A53">
        <v>3</v>
      </c>
      <c r="B53">
        <v>4</v>
      </c>
      <c r="C53">
        <v>2</v>
      </c>
      <c r="D53">
        <v>1</v>
      </c>
      <c r="E53">
        <f>(3/4)*PI()</f>
        <v>2.3561944901923448</v>
      </c>
      <c r="F53">
        <f t="shared" si="11"/>
        <v>-0.82842712474619029</v>
      </c>
      <c r="G53">
        <f t="shared" si="12"/>
        <v>-0.41421356237309492</v>
      </c>
      <c r="I53" t="str">
        <f t="shared" si="13"/>
        <v>[TestCase(3,4,2,1,2.356194,-0.828427,-0.414214)]</v>
      </c>
    </row>
    <row r="54" spans="1:9" x14ac:dyDescent="0.3">
      <c r="A54">
        <v>3</v>
      </c>
      <c r="B54">
        <v>4</v>
      </c>
      <c r="C54">
        <v>2</v>
      </c>
      <c r="D54">
        <v>1</v>
      </c>
      <c r="E54">
        <f>PI()</f>
        <v>3.1415926535897931</v>
      </c>
      <c r="F54">
        <f t="shared" si="11"/>
        <v>0.99999999999999956</v>
      </c>
      <c r="G54">
        <f t="shared" si="12"/>
        <v>-2</v>
      </c>
      <c r="I54" t="str">
        <f t="shared" si="13"/>
        <v>[TestCase(3,4,2,1,3.141593,1,-2)]</v>
      </c>
    </row>
    <row r="55" spans="1:9" x14ac:dyDescent="0.3">
      <c r="A55">
        <v>3</v>
      </c>
      <c r="B55">
        <v>4</v>
      </c>
      <c r="C55">
        <v>2</v>
      </c>
      <c r="D55">
        <v>1</v>
      </c>
      <c r="E55">
        <f>(5/4)*PI()</f>
        <v>3.9269908169872414</v>
      </c>
      <c r="F55">
        <f t="shared" si="11"/>
        <v>3.4142135623730949</v>
      </c>
      <c r="G55">
        <f t="shared" si="12"/>
        <v>-1.8284271247461903</v>
      </c>
      <c r="I55" t="str">
        <f t="shared" si="13"/>
        <v>[TestCase(3,4,2,1,3.926991,3.414214,-1.828427)]</v>
      </c>
    </row>
    <row r="56" spans="1:9" x14ac:dyDescent="0.3">
      <c r="A56">
        <v>3</v>
      </c>
      <c r="B56">
        <v>4</v>
      </c>
      <c r="C56">
        <v>2</v>
      </c>
      <c r="D56">
        <v>1</v>
      </c>
      <c r="E56">
        <f>(3/2)*PI()</f>
        <v>4.7123889803846897</v>
      </c>
      <c r="F56">
        <f t="shared" si="11"/>
        <v>5</v>
      </c>
      <c r="G56">
        <f t="shared" si="12"/>
        <v>0</v>
      </c>
      <c r="I56" t="str">
        <f t="shared" si="13"/>
        <v>[TestCase(3,4,2,1,4.712389,5,0)]</v>
      </c>
    </row>
    <row r="57" spans="1:9" x14ac:dyDescent="0.3">
      <c r="A57">
        <v>3</v>
      </c>
      <c r="B57">
        <v>4</v>
      </c>
      <c r="C57">
        <v>2</v>
      </c>
      <c r="D57">
        <v>1</v>
      </c>
      <c r="E57">
        <f>(7/4)*PI()</f>
        <v>5.497787143782138</v>
      </c>
      <c r="F57">
        <f t="shared" si="11"/>
        <v>4.8284271247461898</v>
      </c>
      <c r="G57">
        <f t="shared" si="12"/>
        <v>2.414213562373094</v>
      </c>
      <c r="I57" t="str">
        <f t="shared" si="13"/>
        <v>[TestCase(3,4,2,1,5.497787,4.828427,2.414214)]</v>
      </c>
    </row>
    <row r="58" spans="1:9" x14ac:dyDescent="0.3">
      <c r="A58">
        <v>3</v>
      </c>
      <c r="B58">
        <v>4</v>
      </c>
      <c r="C58">
        <v>2</v>
      </c>
      <c r="D58">
        <v>1</v>
      </c>
      <c r="E58">
        <f>2*PI()</f>
        <v>6.2831853071795862</v>
      </c>
      <c r="F58">
        <f t="shared" si="11"/>
        <v>3.0000000000000009</v>
      </c>
      <c r="G58">
        <f t="shared" si="12"/>
        <v>3.9999999999999996</v>
      </c>
      <c r="I58" t="str">
        <f t="shared" si="13"/>
        <v>[TestCase(3,4,2,1,6.283185,3,4)]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57484-DE77-4489-8505-7605FEA3DB06}">
  <sheetPr codeName="Sheet8"/>
  <dimension ref="A1:O114"/>
  <sheetViews>
    <sheetView topLeftCell="A67" workbookViewId="0">
      <selection activeCell="L83" sqref="L83"/>
    </sheetView>
  </sheetViews>
  <sheetFormatPr defaultRowHeight="14.4" x14ac:dyDescent="0.3"/>
  <cols>
    <col min="14" max="14" width="13" customWidth="1"/>
  </cols>
  <sheetData>
    <row r="1" spans="1:8" s="2" customFormat="1" x14ac:dyDescent="0.3">
      <c r="A1" s="2" t="s">
        <v>59</v>
      </c>
    </row>
    <row r="2" spans="1:8" x14ac:dyDescent="0.3">
      <c r="A2" s="6" t="s">
        <v>60</v>
      </c>
      <c r="B2" s="6" t="s">
        <v>61</v>
      </c>
      <c r="C2" s="6" t="s">
        <v>62</v>
      </c>
      <c r="D2" s="6" t="s">
        <v>63</v>
      </c>
      <c r="E2" s="6" t="s">
        <v>64</v>
      </c>
      <c r="F2" s="6" t="s">
        <v>65</v>
      </c>
    </row>
    <row r="3" spans="1:8" x14ac:dyDescent="0.3">
      <c r="A3">
        <v>0</v>
      </c>
      <c r="B3">
        <v>0</v>
      </c>
      <c r="C3">
        <v>0</v>
      </c>
      <c r="D3">
        <v>0</v>
      </c>
      <c r="E3">
        <f t="shared" ref="E3:F8" si="0">C3-A3</f>
        <v>0</v>
      </c>
      <c r="F3">
        <f t="shared" si="0"/>
        <v>0</v>
      </c>
      <c r="H3" t="str">
        <f>"[TestCase("&amp;A3&amp;", "&amp;B3&amp;", "&amp;C3&amp;", "&amp;D3&amp;", "&amp;E3&amp;", "&amp;F3&amp;")]"</f>
        <v>[TestCase(0, 0, 0, 0, 0, 0)]</v>
      </c>
    </row>
    <row r="4" spans="1:8" x14ac:dyDescent="0.3">
      <c r="A4">
        <v>0</v>
      </c>
      <c r="B4">
        <v>0</v>
      </c>
      <c r="C4">
        <v>1</v>
      </c>
      <c r="D4">
        <v>2</v>
      </c>
      <c r="E4">
        <f t="shared" si="0"/>
        <v>1</v>
      </c>
      <c r="F4">
        <f t="shared" si="0"/>
        <v>2</v>
      </c>
      <c r="H4" t="str">
        <f t="shared" ref="H4:H8" si="1">"[TestCase("&amp;A4&amp;", "&amp;B4&amp;", "&amp;C4&amp;", "&amp;D4&amp;", "&amp;E4&amp;", "&amp;F4&amp;")]"</f>
        <v>[TestCase(0, 0, 1, 2, 1, 2)]</v>
      </c>
    </row>
    <row r="5" spans="1:8" x14ac:dyDescent="0.3">
      <c r="A5">
        <v>1.1000000000000001</v>
      </c>
      <c r="B5">
        <v>2.2999999999999998</v>
      </c>
      <c r="C5">
        <v>3.3</v>
      </c>
      <c r="D5">
        <v>4.4000000000000004</v>
      </c>
      <c r="E5">
        <f t="shared" si="0"/>
        <v>2.1999999999999997</v>
      </c>
      <c r="F5">
        <f t="shared" si="0"/>
        <v>2.1000000000000005</v>
      </c>
      <c r="H5" t="str">
        <f t="shared" si="1"/>
        <v>[TestCase(1.1, 2.3, 3.3, 4.4, 2.2, 2.1)]</v>
      </c>
    </row>
    <row r="6" spans="1:8" x14ac:dyDescent="0.3">
      <c r="A6">
        <v>1.1000000000000001</v>
      </c>
      <c r="B6">
        <v>-2.2999999999999998</v>
      </c>
      <c r="C6">
        <v>-3.3</v>
      </c>
      <c r="D6">
        <v>-4.4000000000000004</v>
      </c>
      <c r="E6">
        <f t="shared" si="0"/>
        <v>-4.4000000000000004</v>
      </c>
      <c r="F6">
        <f t="shared" si="0"/>
        <v>-2.1000000000000005</v>
      </c>
      <c r="H6" t="str">
        <f t="shared" si="1"/>
        <v>[TestCase(1.1, -2.3, -3.3, -4.4, -4.4, -2.1)]</v>
      </c>
    </row>
    <row r="7" spans="1:8" x14ac:dyDescent="0.3">
      <c r="A7">
        <v>-1.1000000000000001</v>
      </c>
      <c r="B7">
        <v>-2.2999999999999998</v>
      </c>
      <c r="C7">
        <v>-3.3</v>
      </c>
      <c r="D7">
        <v>4.4000000000000004</v>
      </c>
      <c r="E7">
        <f t="shared" si="0"/>
        <v>-2.1999999999999997</v>
      </c>
      <c r="F7">
        <f t="shared" si="0"/>
        <v>6.7</v>
      </c>
      <c r="H7" t="str">
        <f t="shared" si="1"/>
        <v>[TestCase(-1.1, -2.3, -3.3, 4.4, -2.2, 6.7)]</v>
      </c>
    </row>
    <row r="8" spans="1:8" x14ac:dyDescent="0.3">
      <c r="A8">
        <v>-1.1000000000000001</v>
      </c>
      <c r="B8">
        <v>-2.2999999999999998</v>
      </c>
      <c r="C8">
        <v>3.3</v>
      </c>
      <c r="D8">
        <v>-4.4000000000000004</v>
      </c>
      <c r="E8">
        <f t="shared" si="0"/>
        <v>4.4000000000000004</v>
      </c>
      <c r="F8">
        <f t="shared" si="0"/>
        <v>-2.1000000000000005</v>
      </c>
      <c r="H8" t="str">
        <f t="shared" si="1"/>
        <v>[TestCase(-1.1, -2.3, 3.3, -4.4, 4.4, -2.1)]</v>
      </c>
    </row>
    <row r="10" spans="1:8" s="2" customFormat="1" x14ac:dyDescent="0.3">
      <c r="A10" s="2" t="s">
        <v>66</v>
      </c>
    </row>
    <row r="11" spans="1:8" x14ac:dyDescent="0.3">
      <c r="A11" s="6" t="s">
        <v>60</v>
      </c>
      <c r="B11" s="6" t="s">
        <v>61</v>
      </c>
      <c r="C11" s="6" t="s">
        <v>62</v>
      </c>
      <c r="D11" s="6" t="s">
        <v>63</v>
      </c>
      <c r="E11" s="6" t="s">
        <v>66</v>
      </c>
    </row>
    <row r="12" spans="1:8" x14ac:dyDescent="0.3">
      <c r="A12">
        <v>0</v>
      </c>
      <c r="B12">
        <v>0</v>
      </c>
      <c r="C12">
        <v>0</v>
      </c>
      <c r="D12">
        <v>0</v>
      </c>
      <c r="E12">
        <f t="shared" ref="E12:E18" si="2">SQRT((C12-A12)^2+(D12-B12)^2)</f>
        <v>0</v>
      </c>
      <c r="H12" t="str">
        <f>"[TestCase("&amp;A12&amp;", "&amp;B12&amp;", "&amp;C12&amp;", "&amp;D12&amp;", "&amp;ROUND(E12,6)&amp;")]"</f>
        <v>[TestCase(0, 0, 0, 0, 0)]</v>
      </c>
    </row>
    <row r="13" spans="1:8" x14ac:dyDescent="0.3">
      <c r="A13">
        <v>0</v>
      </c>
      <c r="B13">
        <v>0</v>
      </c>
      <c r="C13">
        <v>0</v>
      </c>
      <c r="D13">
        <v>1</v>
      </c>
      <c r="E13">
        <f t="shared" si="2"/>
        <v>1</v>
      </c>
      <c r="H13" t="str">
        <f t="shared" ref="H13:H18" si="3">"[TestCase("&amp;A13&amp;", "&amp;B13&amp;", "&amp;C13&amp;", "&amp;D13&amp;", "&amp;ROUND(E13,6)&amp;")]"</f>
        <v>[TestCase(0, 0, 0, 1, 1)]</v>
      </c>
    </row>
    <row r="14" spans="1:8" x14ac:dyDescent="0.3">
      <c r="A14">
        <v>0</v>
      </c>
      <c r="B14">
        <v>0</v>
      </c>
      <c r="C14">
        <v>1</v>
      </c>
      <c r="D14">
        <v>0</v>
      </c>
      <c r="E14">
        <f t="shared" si="2"/>
        <v>1</v>
      </c>
      <c r="H14" t="str">
        <f t="shared" si="3"/>
        <v>[TestCase(0, 0, 1, 0, 1)]</v>
      </c>
    </row>
    <row r="15" spans="1:8" x14ac:dyDescent="0.3">
      <c r="A15">
        <v>1.1000000000000001</v>
      </c>
      <c r="B15">
        <v>2.2999999999999998</v>
      </c>
      <c r="C15">
        <v>3.3</v>
      </c>
      <c r="D15">
        <v>4.4000000000000004</v>
      </c>
      <c r="E15">
        <f t="shared" si="2"/>
        <v>3.0413812651491097</v>
      </c>
      <c r="H15" t="str">
        <f t="shared" si="3"/>
        <v>[TestCase(1.1, 2.3, 3.3, 4.4, 3.041381)]</v>
      </c>
    </row>
    <row r="16" spans="1:8" x14ac:dyDescent="0.3">
      <c r="A16">
        <v>1.1000000000000001</v>
      </c>
      <c r="B16">
        <v>-2.2999999999999998</v>
      </c>
      <c r="C16">
        <v>-3.3</v>
      </c>
      <c r="D16">
        <v>-4.4000000000000004</v>
      </c>
      <c r="E16">
        <f t="shared" si="2"/>
        <v>4.8754486972995625</v>
      </c>
      <c r="H16" t="str">
        <f t="shared" si="3"/>
        <v>[TestCase(1.1, -2.3, -3.3, -4.4, 4.875449)]</v>
      </c>
    </row>
    <row r="17" spans="1:15" x14ac:dyDescent="0.3">
      <c r="A17">
        <v>-1.1000000000000001</v>
      </c>
      <c r="B17">
        <v>-2.2999999999999998</v>
      </c>
      <c r="C17">
        <v>-3.3</v>
      </c>
      <c r="D17">
        <v>4.4000000000000004</v>
      </c>
      <c r="E17">
        <f t="shared" si="2"/>
        <v>7.0519500849055925</v>
      </c>
      <c r="H17" t="str">
        <f t="shared" si="3"/>
        <v>[TestCase(-1.1, -2.3, -3.3, 4.4, 7.05195)]</v>
      </c>
    </row>
    <row r="18" spans="1:15" x14ac:dyDescent="0.3">
      <c r="A18">
        <v>-1.1000000000000001</v>
      </c>
      <c r="B18">
        <v>-2.2999999999999998</v>
      </c>
      <c r="C18">
        <v>3.3</v>
      </c>
      <c r="D18">
        <v>-4.4000000000000004</v>
      </c>
      <c r="E18">
        <f t="shared" si="2"/>
        <v>4.8754486972995625</v>
      </c>
      <c r="H18" t="str">
        <f t="shared" si="3"/>
        <v>[TestCase(-1.1, -2.3, 3.3, -4.4, 4.875449)]</v>
      </c>
    </row>
    <row r="20" spans="1:15" s="2" customFormat="1" x14ac:dyDescent="0.3">
      <c r="A20" s="2" t="s">
        <v>5</v>
      </c>
    </row>
    <row r="21" spans="1:15" s="3" customFormat="1" x14ac:dyDescent="0.3">
      <c r="A21" s="42" t="s">
        <v>72</v>
      </c>
      <c r="B21" s="42"/>
      <c r="C21" s="42"/>
      <c r="D21" s="42"/>
      <c r="E21" s="42" t="s">
        <v>73</v>
      </c>
      <c r="F21" s="42"/>
      <c r="G21" s="42"/>
      <c r="H21" s="42"/>
      <c r="I21" s="42" t="s">
        <v>74</v>
      </c>
      <c r="J21" s="42"/>
      <c r="K21" s="42"/>
      <c r="L21" s="42"/>
    </row>
    <row r="22" spans="1:15" x14ac:dyDescent="0.3">
      <c r="A22" s="6" t="s">
        <v>60</v>
      </c>
      <c r="B22" s="6" t="s">
        <v>61</v>
      </c>
      <c r="C22" s="6" t="s">
        <v>62</v>
      </c>
      <c r="D22" s="6" t="s">
        <v>63</v>
      </c>
      <c r="E22" s="6" t="s">
        <v>60</v>
      </c>
      <c r="F22" s="6" t="s">
        <v>61</v>
      </c>
      <c r="G22" s="6" t="s">
        <v>62</v>
      </c>
      <c r="H22" s="6" t="s">
        <v>63</v>
      </c>
      <c r="I22" s="6" t="s">
        <v>60</v>
      </c>
      <c r="J22" s="6" t="s">
        <v>61</v>
      </c>
      <c r="K22" s="6" t="s">
        <v>62</v>
      </c>
      <c r="L22" s="6" t="s">
        <v>63</v>
      </c>
    </row>
    <row r="23" spans="1:15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f>(C23-A23)+(G23-E23)</f>
        <v>0</v>
      </c>
      <c r="L23">
        <f>(D23-B23)+(H23-F23)</f>
        <v>0</v>
      </c>
      <c r="O23" t="str">
        <f>"[TestCase("&amp;A23&amp;", "&amp;B23&amp;", "&amp;C23&amp;", "&amp;D23&amp;", "&amp;E23&amp;", "&amp;F23&amp;", "&amp;G23&amp;", "&amp;H23&amp;", "&amp;I23&amp;", "&amp;J23&amp;", "&amp;K23&amp;", "&amp;L23&amp;")]"</f>
        <v>[TestCase(0, 0, 0, 0, 0, 0, 0, 0, 0, 0, 0, 0)]</v>
      </c>
    </row>
    <row r="24" spans="1:15" x14ac:dyDescent="0.3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v>7</v>
      </c>
      <c r="H24">
        <v>8</v>
      </c>
      <c r="I24">
        <v>0</v>
      </c>
      <c r="J24">
        <v>0</v>
      </c>
      <c r="K24">
        <f>(C24-A24)+(G24-E24)</f>
        <v>4</v>
      </c>
      <c r="L24">
        <f>(D24-B24)+(H24-F24)</f>
        <v>4</v>
      </c>
      <c r="M24" t="s">
        <v>75</v>
      </c>
      <c r="O24" t="str">
        <f t="shared" ref="O24:O33" si="4">"[TestCase("&amp;A24&amp;", "&amp;B24&amp;", "&amp;C24&amp;", "&amp;D24&amp;", "&amp;E24&amp;", "&amp;F24&amp;", "&amp;G24&amp;", "&amp;H24&amp;", "&amp;I24&amp;", "&amp;J24&amp;", "&amp;K24&amp;", "&amp;L24&amp;")]"</f>
        <v>[TestCase(1, 2, 3, 4, 5, 6, 7, 8, 0, 0, 4, 4)]</v>
      </c>
    </row>
    <row r="25" spans="1:15" x14ac:dyDescent="0.3">
      <c r="A25">
        <v>-1</v>
      </c>
      <c r="B25">
        <v>2</v>
      </c>
      <c r="C25">
        <v>-3</v>
      </c>
      <c r="D25">
        <v>4</v>
      </c>
      <c r="E25">
        <v>-5</v>
      </c>
      <c r="F25">
        <v>6</v>
      </c>
      <c r="G25">
        <v>-7</v>
      </c>
      <c r="H25">
        <v>8</v>
      </c>
      <c r="I25">
        <v>0</v>
      </c>
      <c r="J25">
        <v>0</v>
      </c>
      <c r="K25">
        <f t="shared" ref="K25:K31" si="5">(C25-A25)+(G25-E25)</f>
        <v>-4</v>
      </c>
      <c r="L25">
        <f t="shared" ref="L25:L31" si="6">(D25-B25)+(H25-F25)</f>
        <v>4</v>
      </c>
      <c r="M25" t="s">
        <v>76</v>
      </c>
      <c r="O25" t="str">
        <f t="shared" si="4"/>
        <v>[TestCase(-1, 2, -3, 4, -5, 6, -7, 8, 0, 0, -4, 4)]</v>
      </c>
    </row>
    <row r="26" spans="1:15" x14ac:dyDescent="0.3">
      <c r="A26">
        <v>-1</v>
      </c>
      <c r="B26">
        <v>-2</v>
      </c>
      <c r="C26">
        <v>-3</v>
      </c>
      <c r="D26">
        <v>-4</v>
      </c>
      <c r="E26">
        <v>-5</v>
      </c>
      <c r="F26">
        <v>-6</v>
      </c>
      <c r="G26">
        <v>-7</v>
      </c>
      <c r="H26">
        <v>-8</v>
      </c>
      <c r="I26">
        <v>0</v>
      </c>
      <c r="J26">
        <v>0</v>
      </c>
      <c r="K26">
        <f t="shared" si="5"/>
        <v>-4</v>
      </c>
      <c r="L26">
        <f t="shared" si="6"/>
        <v>-4</v>
      </c>
      <c r="M26" t="s">
        <v>77</v>
      </c>
      <c r="O26" t="str">
        <f t="shared" si="4"/>
        <v>[TestCase(-1, -2, -3, -4, -5, -6, -7, -8, 0, 0, -4, -4)]</v>
      </c>
    </row>
    <row r="27" spans="1:15" x14ac:dyDescent="0.3">
      <c r="A27">
        <v>1</v>
      </c>
      <c r="B27">
        <v>-2</v>
      </c>
      <c r="C27">
        <v>3</v>
      </c>
      <c r="D27">
        <v>-4</v>
      </c>
      <c r="E27">
        <v>5</v>
      </c>
      <c r="F27">
        <v>-6</v>
      </c>
      <c r="G27">
        <v>7</v>
      </c>
      <c r="H27">
        <v>-8</v>
      </c>
      <c r="I27">
        <v>0</v>
      </c>
      <c r="J27">
        <v>0</v>
      </c>
      <c r="K27">
        <f t="shared" si="5"/>
        <v>4</v>
      </c>
      <c r="L27">
        <f t="shared" si="6"/>
        <v>-4</v>
      </c>
      <c r="M27" t="s">
        <v>78</v>
      </c>
      <c r="O27" t="str">
        <f t="shared" si="4"/>
        <v>[TestCase(1, -2, 3, -4, 5, -6, 7, -8, 0, 0, 4, -4)]</v>
      </c>
    </row>
    <row r="28" spans="1:15" x14ac:dyDescent="0.3">
      <c r="A28">
        <v>2</v>
      </c>
      <c r="B28">
        <v>4</v>
      </c>
      <c r="C28">
        <v>3</v>
      </c>
      <c r="D28">
        <v>4</v>
      </c>
      <c r="E28">
        <v>-5</v>
      </c>
      <c r="F28">
        <v>-6</v>
      </c>
      <c r="G28">
        <v>-7</v>
      </c>
      <c r="H28">
        <v>-8</v>
      </c>
      <c r="I28">
        <v>0</v>
      </c>
      <c r="J28">
        <v>0</v>
      </c>
      <c r="K28">
        <f t="shared" si="5"/>
        <v>-1</v>
      </c>
      <c r="L28">
        <f t="shared" si="6"/>
        <v>-2</v>
      </c>
      <c r="M28" t="s">
        <v>88</v>
      </c>
      <c r="O28" t="str">
        <f t="shared" si="4"/>
        <v>[TestCase(2, 4, 3, 4, -5, -6, -7, -8, 0, 0, -1, -2)]</v>
      </c>
    </row>
    <row r="29" spans="1:15" x14ac:dyDescent="0.3">
      <c r="A29">
        <v>2</v>
      </c>
      <c r="B29">
        <v>2</v>
      </c>
      <c r="C29">
        <v>3</v>
      </c>
      <c r="D29">
        <v>4</v>
      </c>
      <c r="E29">
        <v>-5</v>
      </c>
      <c r="F29">
        <v>6</v>
      </c>
      <c r="G29">
        <v>-7</v>
      </c>
      <c r="H29">
        <v>8</v>
      </c>
      <c r="I29">
        <v>0</v>
      </c>
      <c r="J29">
        <v>0</v>
      </c>
      <c r="K29">
        <f t="shared" si="5"/>
        <v>-1</v>
      </c>
      <c r="L29">
        <f t="shared" si="6"/>
        <v>4</v>
      </c>
      <c r="M29" t="s">
        <v>79</v>
      </c>
      <c r="O29" t="str">
        <f t="shared" si="4"/>
        <v>[TestCase(2, 2, 3, 4, -5, 6, -7, 8, 0, 0, -1, 4)]</v>
      </c>
    </row>
    <row r="30" spans="1:15" x14ac:dyDescent="0.3">
      <c r="A30">
        <v>2</v>
      </c>
      <c r="B30">
        <v>4</v>
      </c>
      <c r="C30">
        <v>3</v>
      </c>
      <c r="D30">
        <v>4</v>
      </c>
      <c r="E30">
        <v>5</v>
      </c>
      <c r="F30">
        <v>-6</v>
      </c>
      <c r="G30">
        <v>7</v>
      </c>
      <c r="H30">
        <v>-8</v>
      </c>
      <c r="I30">
        <v>0</v>
      </c>
      <c r="J30">
        <v>0</v>
      </c>
      <c r="K30">
        <f t="shared" si="5"/>
        <v>3</v>
      </c>
      <c r="L30">
        <f t="shared" si="6"/>
        <v>-2</v>
      </c>
      <c r="M30" t="s">
        <v>80</v>
      </c>
      <c r="O30" t="str">
        <f t="shared" si="4"/>
        <v>[TestCase(2, 4, 3, 4, 5, -6, 7, -8, 0, 0, 3, -2)]</v>
      </c>
    </row>
    <row r="31" spans="1:15" x14ac:dyDescent="0.3">
      <c r="A31">
        <v>1</v>
      </c>
      <c r="B31">
        <v>2</v>
      </c>
      <c r="C31">
        <v>3</v>
      </c>
      <c r="D31">
        <v>4</v>
      </c>
      <c r="E31">
        <v>5</v>
      </c>
      <c r="F31">
        <v>6</v>
      </c>
      <c r="G31">
        <v>5</v>
      </c>
      <c r="H31">
        <v>8</v>
      </c>
      <c r="I31">
        <v>0</v>
      </c>
      <c r="J31">
        <v>0</v>
      </c>
      <c r="K31">
        <f t="shared" si="5"/>
        <v>2</v>
      </c>
      <c r="L31">
        <f t="shared" si="6"/>
        <v>4</v>
      </c>
      <c r="M31" t="s">
        <v>82</v>
      </c>
      <c r="O31" t="str">
        <f t="shared" si="4"/>
        <v>[TestCase(1, 2, 3, 4, 5, 6, 5, 8, 0, 0, 2, 4)]</v>
      </c>
    </row>
    <row r="32" spans="1:15" x14ac:dyDescent="0.3">
      <c r="A32">
        <v>1</v>
      </c>
      <c r="B32">
        <v>2</v>
      </c>
      <c r="C32">
        <v>3</v>
      </c>
      <c r="D32">
        <v>4</v>
      </c>
      <c r="E32">
        <v>5</v>
      </c>
      <c r="F32">
        <v>6</v>
      </c>
      <c r="G32">
        <v>4</v>
      </c>
      <c r="H32">
        <v>8</v>
      </c>
      <c r="I32">
        <v>0</v>
      </c>
      <c r="J32">
        <v>0</v>
      </c>
      <c r="K32">
        <f t="shared" ref="K32" si="7">(C32-A32)+(G32-E32)</f>
        <v>1</v>
      </c>
      <c r="L32">
        <f t="shared" ref="L32" si="8">(D32-B32)+(H32-F32)</f>
        <v>4</v>
      </c>
      <c r="M32" t="s">
        <v>81</v>
      </c>
      <c r="O32" t="str">
        <f t="shared" si="4"/>
        <v>[TestCase(1, 2, 3, 4, 5, 6, 4, 8, 0, 0, 1, 4)]</v>
      </c>
    </row>
    <row r="33" spans="1:15" x14ac:dyDescent="0.3">
      <c r="A33">
        <v>1.1000000000000001</v>
      </c>
      <c r="B33">
        <v>2.2000000000000002</v>
      </c>
      <c r="C33">
        <v>3.3</v>
      </c>
      <c r="D33">
        <v>4.4000000000000004</v>
      </c>
      <c r="E33">
        <v>5.5</v>
      </c>
      <c r="F33">
        <v>6.6</v>
      </c>
      <c r="G33">
        <v>7.7</v>
      </c>
      <c r="H33">
        <v>8.8000000000000007</v>
      </c>
      <c r="I33">
        <v>0</v>
      </c>
      <c r="J33">
        <v>0</v>
      </c>
      <c r="K33">
        <f>(C33-A33)+(G33-E33)</f>
        <v>4.4000000000000004</v>
      </c>
      <c r="L33">
        <f>(D33-B33)+(H33-F33)</f>
        <v>4.4000000000000012</v>
      </c>
      <c r="O33" t="str">
        <f t="shared" si="4"/>
        <v>[TestCase(1.1, 2.2, 3.3, 4.4, 5.5, 6.6, 7.7, 8.8, 0, 0, 4.4, 4.4)]</v>
      </c>
    </row>
    <row r="35" spans="1:15" s="2" customFormat="1" x14ac:dyDescent="0.3">
      <c r="A35" s="2" t="s">
        <v>89</v>
      </c>
    </row>
    <row r="36" spans="1:15" s="3" customFormat="1" x14ac:dyDescent="0.3">
      <c r="A36" s="43" t="s">
        <v>84</v>
      </c>
      <c r="B36" s="43"/>
      <c r="C36" s="42" t="s">
        <v>73</v>
      </c>
      <c r="D36" s="42"/>
      <c r="E36" s="42"/>
      <c r="F36" s="42"/>
      <c r="G36" s="43" t="s">
        <v>86</v>
      </c>
      <c r="H36" s="43"/>
      <c r="I36"/>
      <c r="J36"/>
    </row>
    <row r="37" spans="1:15" x14ac:dyDescent="0.3">
      <c r="A37" s="6" t="s">
        <v>60</v>
      </c>
      <c r="B37" s="6" t="s">
        <v>61</v>
      </c>
      <c r="C37" s="6" t="s">
        <v>60</v>
      </c>
      <c r="D37" s="6" t="s">
        <v>61</v>
      </c>
      <c r="E37" s="6" t="s">
        <v>62</v>
      </c>
      <c r="F37" s="6" t="s">
        <v>63</v>
      </c>
      <c r="G37" s="6" t="s">
        <v>60</v>
      </c>
      <c r="H37" s="6" t="s">
        <v>61</v>
      </c>
    </row>
    <row r="38" spans="1:15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f>A38+(E38-C38)</f>
        <v>0</v>
      </c>
      <c r="H38">
        <f>B38+(F38-D38)</f>
        <v>0</v>
      </c>
      <c r="L38" t="str">
        <f>"[TestCase("&amp;A38&amp;", "&amp;B38&amp;", "&amp;C38&amp;", "&amp;D38&amp;", "&amp;E38&amp;", "&amp;F38&amp;", "&amp;G38&amp;", "&amp;H38&amp;")]"</f>
        <v>[TestCase(0, 0, 0, 0, 0, 0, 0, 0)]</v>
      </c>
    </row>
    <row r="39" spans="1:15" x14ac:dyDescent="0.3">
      <c r="A39">
        <v>1</v>
      </c>
      <c r="B39">
        <v>4</v>
      </c>
      <c r="C39">
        <v>5</v>
      </c>
      <c r="D39">
        <v>6</v>
      </c>
      <c r="E39">
        <v>7</v>
      </c>
      <c r="F39">
        <v>8</v>
      </c>
      <c r="G39">
        <f t="shared" ref="G39:G47" si="9">A39+(E39-C39)</f>
        <v>3</v>
      </c>
      <c r="H39">
        <f t="shared" ref="H39:H47" si="10">B39+(F39-D39)</f>
        <v>6</v>
      </c>
      <c r="I39" t="s">
        <v>75</v>
      </c>
      <c r="L39" t="str">
        <f t="shared" ref="L39:L48" si="11">"[TestCase("&amp;A39&amp;", "&amp;B39&amp;", "&amp;C39&amp;", "&amp;D39&amp;", "&amp;E39&amp;", "&amp;F39&amp;", "&amp;G39&amp;", "&amp;H39&amp;")]"</f>
        <v>[TestCase(1, 4, 5, 6, 7, 8, 3, 6)]</v>
      </c>
    </row>
    <row r="40" spans="1:15" x14ac:dyDescent="0.3">
      <c r="A40">
        <v>-1</v>
      </c>
      <c r="B40">
        <v>4</v>
      </c>
      <c r="C40">
        <v>-5</v>
      </c>
      <c r="D40">
        <v>6</v>
      </c>
      <c r="E40">
        <v>-7</v>
      </c>
      <c r="F40">
        <v>8</v>
      </c>
      <c r="G40">
        <f t="shared" si="9"/>
        <v>-3</v>
      </c>
      <c r="H40">
        <f t="shared" si="10"/>
        <v>6</v>
      </c>
      <c r="I40" t="s">
        <v>76</v>
      </c>
      <c r="L40" t="str">
        <f t="shared" si="11"/>
        <v>[TestCase(-1, 4, -5, 6, -7, 8, -3, 6)]</v>
      </c>
    </row>
    <row r="41" spans="1:15" x14ac:dyDescent="0.3">
      <c r="A41">
        <v>-1</v>
      </c>
      <c r="B41">
        <v>-4</v>
      </c>
      <c r="C41">
        <v>-5</v>
      </c>
      <c r="D41">
        <v>-6</v>
      </c>
      <c r="E41">
        <v>-7</v>
      </c>
      <c r="F41">
        <v>-8</v>
      </c>
      <c r="G41">
        <f t="shared" si="9"/>
        <v>-3</v>
      </c>
      <c r="H41">
        <f t="shared" si="10"/>
        <v>-6</v>
      </c>
      <c r="I41" t="s">
        <v>77</v>
      </c>
      <c r="L41" t="str">
        <f t="shared" si="11"/>
        <v>[TestCase(-1, -4, -5, -6, -7, -8, -3, -6)]</v>
      </c>
    </row>
    <row r="42" spans="1:15" x14ac:dyDescent="0.3">
      <c r="A42">
        <v>1</v>
      </c>
      <c r="B42">
        <v>-4</v>
      </c>
      <c r="C42">
        <v>5</v>
      </c>
      <c r="D42">
        <v>-6</v>
      </c>
      <c r="E42">
        <v>7</v>
      </c>
      <c r="F42">
        <v>-8</v>
      </c>
      <c r="G42">
        <f t="shared" si="9"/>
        <v>3</v>
      </c>
      <c r="H42">
        <f t="shared" si="10"/>
        <v>-6</v>
      </c>
      <c r="I42" t="s">
        <v>78</v>
      </c>
      <c r="L42" t="str">
        <f t="shared" si="11"/>
        <v>[TestCase(1, -4, 5, -6, 7, -8, 3, -6)]</v>
      </c>
    </row>
    <row r="43" spans="1:15" x14ac:dyDescent="0.3">
      <c r="A43">
        <v>1</v>
      </c>
      <c r="B43">
        <v>4</v>
      </c>
      <c r="C43">
        <v>-5</v>
      </c>
      <c r="D43">
        <v>-6</v>
      </c>
      <c r="E43">
        <v>-7</v>
      </c>
      <c r="F43">
        <v>-8</v>
      </c>
      <c r="G43">
        <f t="shared" si="9"/>
        <v>-1</v>
      </c>
      <c r="H43">
        <f t="shared" si="10"/>
        <v>2</v>
      </c>
      <c r="I43" t="s">
        <v>88</v>
      </c>
      <c r="L43" t="str">
        <f t="shared" si="11"/>
        <v>[TestCase(1, 4, -5, -6, -7, -8, -1, 2)]</v>
      </c>
    </row>
    <row r="44" spans="1:15" x14ac:dyDescent="0.3">
      <c r="A44">
        <v>1</v>
      </c>
      <c r="B44">
        <v>4</v>
      </c>
      <c r="C44">
        <v>-5</v>
      </c>
      <c r="D44">
        <v>6</v>
      </c>
      <c r="E44">
        <v>-7</v>
      </c>
      <c r="F44">
        <v>8</v>
      </c>
      <c r="G44">
        <f t="shared" si="9"/>
        <v>-1</v>
      </c>
      <c r="H44">
        <f t="shared" si="10"/>
        <v>6</v>
      </c>
      <c r="I44" t="s">
        <v>79</v>
      </c>
      <c r="L44" t="str">
        <f t="shared" si="11"/>
        <v>[TestCase(1, 4, -5, 6, -7, 8, -1, 6)]</v>
      </c>
    </row>
    <row r="45" spans="1:15" x14ac:dyDescent="0.3">
      <c r="A45">
        <v>1</v>
      </c>
      <c r="B45">
        <v>4</v>
      </c>
      <c r="C45">
        <v>5</v>
      </c>
      <c r="D45">
        <v>-6</v>
      </c>
      <c r="E45">
        <v>7</v>
      </c>
      <c r="F45">
        <v>-8</v>
      </c>
      <c r="G45">
        <f t="shared" si="9"/>
        <v>3</v>
      </c>
      <c r="H45">
        <f t="shared" si="10"/>
        <v>2</v>
      </c>
      <c r="I45" t="s">
        <v>80</v>
      </c>
      <c r="L45" t="str">
        <f t="shared" si="11"/>
        <v>[TestCase(1, 4, 5, -6, 7, -8, 3, 2)]</v>
      </c>
    </row>
    <row r="46" spans="1:15" x14ac:dyDescent="0.3">
      <c r="A46">
        <v>1</v>
      </c>
      <c r="B46">
        <v>4</v>
      </c>
      <c r="C46">
        <v>5</v>
      </c>
      <c r="D46">
        <v>6</v>
      </c>
      <c r="E46">
        <v>5</v>
      </c>
      <c r="F46">
        <v>8</v>
      </c>
      <c r="G46">
        <f t="shared" si="9"/>
        <v>1</v>
      </c>
      <c r="H46">
        <f t="shared" si="10"/>
        <v>6</v>
      </c>
      <c r="I46" t="s">
        <v>82</v>
      </c>
      <c r="L46" t="str">
        <f t="shared" si="11"/>
        <v>[TestCase(1, 4, 5, 6, 5, 8, 1, 6)]</v>
      </c>
    </row>
    <row r="47" spans="1:15" x14ac:dyDescent="0.3">
      <c r="A47">
        <v>1</v>
      </c>
      <c r="B47">
        <v>4</v>
      </c>
      <c r="C47">
        <v>5</v>
      </c>
      <c r="D47">
        <v>6</v>
      </c>
      <c r="E47">
        <v>4</v>
      </c>
      <c r="F47">
        <v>8</v>
      </c>
      <c r="G47">
        <f t="shared" si="9"/>
        <v>0</v>
      </c>
      <c r="H47">
        <f t="shared" si="10"/>
        <v>6</v>
      </c>
      <c r="I47" t="s">
        <v>81</v>
      </c>
      <c r="L47" t="str">
        <f t="shared" si="11"/>
        <v>[TestCase(1, 4, 5, 6, 4, 8, 0, 6)]</v>
      </c>
    </row>
    <row r="48" spans="1:15" x14ac:dyDescent="0.3">
      <c r="A48">
        <v>3.2</v>
      </c>
      <c r="B48">
        <v>4.4000000000000004</v>
      </c>
      <c r="C48">
        <v>5.5</v>
      </c>
      <c r="D48">
        <v>6.6</v>
      </c>
      <c r="E48">
        <v>4.4000000000000004</v>
      </c>
      <c r="F48">
        <v>8.8000000000000007</v>
      </c>
      <c r="G48">
        <f>A48+(E48-C48)</f>
        <v>2.1000000000000005</v>
      </c>
      <c r="H48">
        <f t="shared" ref="H48" si="12">B48+(F48-D48)</f>
        <v>6.6000000000000014</v>
      </c>
      <c r="L48" t="str">
        <f t="shared" si="11"/>
        <v>[TestCase(3.2, 4.4, 5.5, 6.6, 4.4, 8.8, 2.1, 6.6)]</v>
      </c>
    </row>
    <row r="50" spans="1:15" s="2" customFormat="1" x14ac:dyDescent="0.3">
      <c r="A50" s="2" t="s">
        <v>6</v>
      </c>
    </row>
    <row r="51" spans="1:15" s="3" customFormat="1" x14ac:dyDescent="0.3">
      <c r="A51" s="42" t="s">
        <v>72</v>
      </c>
      <c r="B51" s="42"/>
      <c r="C51" s="42"/>
      <c r="D51" s="42"/>
      <c r="E51" s="42" t="s">
        <v>73</v>
      </c>
      <c r="F51" s="42"/>
      <c r="G51" s="42"/>
      <c r="H51" s="42"/>
      <c r="I51" s="42" t="s">
        <v>74</v>
      </c>
      <c r="J51" s="42"/>
      <c r="K51" s="42"/>
      <c r="L51" s="42"/>
    </row>
    <row r="52" spans="1:15" x14ac:dyDescent="0.3">
      <c r="A52" s="6" t="s">
        <v>60</v>
      </c>
      <c r="B52" s="6" t="s">
        <v>61</v>
      </c>
      <c r="C52" s="6" t="s">
        <v>62</v>
      </c>
      <c r="D52" s="6" t="s">
        <v>63</v>
      </c>
      <c r="E52" s="6" t="s">
        <v>60</v>
      </c>
      <c r="F52" s="6" t="s">
        <v>61</v>
      </c>
      <c r="G52" s="6" t="s">
        <v>62</v>
      </c>
      <c r="H52" s="6" t="s">
        <v>63</v>
      </c>
      <c r="I52" s="6" t="s">
        <v>60</v>
      </c>
      <c r="J52" s="6" t="s">
        <v>61</v>
      </c>
      <c r="K52" s="6" t="s">
        <v>62</v>
      </c>
      <c r="L52" s="6" t="s">
        <v>63</v>
      </c>
    </row>
    <row r="53" spans="1:15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f>(C53-A53)-(G53-E53)</f>
        <v>0</v>
      </c>
      <c r="L53">
        <f>(D53-B53)-(H53-F53)</f>
        <v>0</v>
      </c>
      <c r="O53" t="str">
        <f>"[TestCase("&amp;A53&amp;", "&amp;B53&amp;", "&amp;C53&amp;", "&amp;D53&amp;", "&amp;E53&amp;", "&amp;F53&amp;", "&amp;G53&amp;", "&amp;H53&amp;", "&amp;I53&amp;", "&amp;J53&amp;", "&amp;K53&amp;", "&amp;L53&amp;")]"</f>
        <v>[TestCase(0, 0, 0, 0, 0, 0, 0, 0, 0, 0, 0, 0)]</v>
      </c>
    </row>
    <row r="54" spans="1:15" x14ac:dyDescent="0.3">
      <c r="A54">
        <v>2</v>
      </c>
      <c r="B54">
        <v>4</v>
      </c>
      <c r="C54">
        <v>3</v>
      </c>
      <c r="D54">
        <v>4</v>
      </c>
      <c r="E54">
        <v>5</v>
      </c>
      <c r="F54">
        <v>6</v>
      </c>
      <c r="G54">
        <v>7</v>
      </c>
      <c r="H54">
        <v>8</v>
      </c>
      <c r="I54">
        <v>0</v>
      </c>
      <c r="J54">
        <v>0</v>
      </c>
      <c r="K54">
        <f t="shared" ref="K54:K62" si="13">(C54-A54)-(G54-E54)</f>
        <v>-1</v>
      </c>
      <c r="L54">
        <f t="shared" ref="L54:L62" si="14">(D54-B54)-(H54-F54)</f>
        <v>-2</v>
      </c>
      <c r="M54" t="s">
        <v>75</v>
      </c>
      <c r="O54" t="str">
        <f t="shared" ref="O54:O62" si="15">"[TestCase("&amp;A54&amp;", "&amp;B54&amp;", "&amp;C54&amp;", "&amp;D54&amp;", "&amp;E54&amp;", "&amp;F54&amp;", "&amp;G54&amp;", "&amp;H54&amp;", "&amp;I54&amp;", "&amp;J54&amp;", "&amp;K54&amp;", "&amp;L54&amp;")]"</f>
        <v>[TestCase(2, 4, 3, 4, 5, 6, 7, 8, 0, 0, -1, -2)]</v>
      </c>
    </row>
    <row r="55" spans="1:15" x14ac:dyDescent="0.3">
      <c r="A55">
        <v>-2</v>
      </c>
      <c r="B55">
        <v>4</v>
      </c>
      <c r="C55">
        <v>-3</v>
      </c>
      <c r="D55">
        <v>4</v>
      </c>
      <c r="E55">
        <v>-5</v>
      </c>
      <c r="F55">
        <v>6</v>
      </c>
      <c r="G55">
        <v>-7</v>
      </c>
      <c r="H55">
        <v>8</v>
      </c>
      <c r="I55">
        <v>0</v>
      </c>
      <c r="J55">
        <v>0</v>
      </c>
      <c r="K55">
        <f t="shared" si="13"/>
        <v>1</v>
      </c>
      <c r="L55">
        <f t="shared" si="14"/>
        <v>-2</v>
      </c>
      <c r="M55" t="s">
        <v>76</v>
      </c>
      <c r="O55" t="str">
        <f t="shared" si="15"/>
        <v>[TestCase(-2, 4, -3, 4, -5, 6, -7, 8, 0, 0, 1, -2)]</v>
      </c>
    </row>
    <row r="56" spans="1:15" x14ac:dyDescent="0.3">
      <c r="A56">
        <v>-2</v>
      </c>
      <c r="B56">
        <v>-4</v>
      </c>
      <c r="C56">
        <v>-3</v>
      </c>
      <c r="D56">
        <v>-4</v>
      </c>
      <c r="E56">
        <v>-5</v>
      </c>
      <c r="F56">
        <v>-6</v>
      </c>
      <c r="G56">
        <v>-7</v>
      </c>
      <c r="H56">
        <v>-8</v>
      </c>
      <c r="I56">
        <v>0</v>
      </c>
      <c r="J56">
        <v>0</v>
      </c>
      <c r="K56">
        <f t="shared" si="13"/>
        <v>1</v>
      </c>
      <c r="L56">
        <f t="shared" si="14"/>
        <v>2</v>
      </c>
      <c r="M56" t="s">
        <v>77</v>
      </c>
      <c r="O56" t="str">
        <f t="shared" si="15"/>
        <v>[TestCase(-2, -4, -3, -4, -5, -6, -7, -8, 0, 0, 1, 2)]</v>
      </c>
    </row>
    <row r="57" spans="1:15" x14ac:dyDescent="0.3">
      <c r="A57">
        <v>2</v>
      </c>
      <c r="B57">
        <v>-4</v>
      </c>
      <c r="C57">
        <v>3</v>
      </c>
      <c r="D57">
        <v>-4</v>
      </c>
      <c r="E57">
        <v>5</v>
      </c>
      <c r="F57">
        <v>-6</v>
      </c>
      <c r="G57">
        <v>7</v>
      </c>
      <c r="H57">
        <v>-8</v>
      </c>
      <c r="I57">
        <v>0</v>
      </c>
      <c r="J57">
        <v>0</v>
      </c>
      <c r="K57">
        <f t="shared" si="13"/>
        <v>-1</v>
      </c>
      <c r="L57">
        <f t="shared" si="14"/>
        <v>2</v>
      </c>
      <c r="M57" t="s">
        <v>78</v>
      </c>
      <c r="O57" t="str">
        <f t="shared" si="15"/>
        <v>[TestCase(2, -4, 3, -4, 5, -6, 7, -8, 0, 0, -1, 2)]</v>
      </c>
    </row>
    <row r="58" spans="1:15" x14ac:dyDescent="0.3">
      <c r="A58">
        <v>2</v>
      </c>
      <c r="B58">
        <v>4</v>
      </c>
      <c r="C58">
        <v>3</v>
      </c>
      <c r="D58">
        <v>4</v>
      </c>
      <c r="E58">
        <v>-5</v>
      </c>
      <c r="F58">
        <v>-6</v>
      </c>
      <c r="G58">
        <v>-7</v>
      </c>
      <c r="H58">
        <v>-8</v>
      </c>
      <c r="I58">
        <v>0</v>
      </c>
      <c r="J58">
        <v>0</v>
      </c>
      <c r="K58">
        <f t="shared" si="13"/>
        <v>3</v>
      </c>
      <c r="L58">
        <f t="shared" si="14"/>
        <v>2</v>
      </c>
      <c r="M58" t="s">
        <v>88</v>
      </c>
      <c r="O58" t="str">
        <f t="shared" si="15"/>
        <v>[TestCase(2, 4, 3, 4, -5, -6, -7, -8, 0, 0, 3, 2)]</v>
      </c>
    </row>
    <row r="59" spans="1:15" x14ac:dyDescent="0.3">
      <c r="A59">
        <v>1</v>
      </c>
      <c r="B59">
        <v>4</v>
      </c>
      <c r="C59">
        <v>3</v>
      </c>
      <c r="D59">
        <v>4</v>
      </c>
      <c r="E59">
        <v>-5</v>
      </c>
      <c r="F59">
        <v>6</v>
      </c>
      <c r="G59">
        <v>-7</v>
      </c>
      <c r="H59">
        <v>8</v>
      </c>
      <c r="I59">
        <v>0</v>
      </c>
      <c r="J59">
        <v>0</v>
      </c>
      <c r="K59">
        <f t="shared" si="13"/>
        <v>4</v>
      </c>
      <c r="L59">
        <f t="shared" si="14"/>
        <v>-2</v>
      </c>
      <c r="M59" t="s">
        <v>79</v>
      </c>
      <c r="O59" t="str">
        <f t="shared" si="15"/>
        <v>[TestCase(1, 4, 3, 4, -5, 6, -7, 8, 0, 0, 4, -2)]</v>
      </c>
    </row>
    <row r="60" spans="1:15" x14ac:dyDescent="0.3">
      <c r="A60">
        <v>2</v>
      </c>
      <c r="B60">
        <v>4</v>
      </c>
      <c r="C60">
        <v>3</v>
      </c>
      <c r="D60">
        <v>4</v>
      </c>
      <c r="E60">
        <v>5</v>
      </c>
      <c r="F60">
        <v>-6</v>
      </c>
      <c r="G60">
        <v>7</v>
      </c>
      <c r="H60">
        <v>-8</v>
      </c>
      <c r="I60">
        <v>0</v>
      </c>
      <c r="J60">
        <v>0</v>
      </c>
      <c r="K60">
        <f t="shared" si="13"/>
        <v>-1</v>
      </c>
      <c r="L60">
        <f t="shared" si="14"/>
        <v>2</v>
      </c>
      <c r="M60" t="s">
        <v>80</v>
      </c>
      <c r="O60" t="str">
        <f t="shared" si="15"/>
        <v>[TestCase(2, 4, 3, 4, 5, -6, 7, -8, 0, 0, -1, 2)]</v>
      </c>
    </row>
    <row r="61" spans="1:15" x14ac:dyDescent="0.3">
      <c r="A61">
        <v>1</v>
      </c>
      <c r="B61">
        <v>4</v>
      </c>
      <c r="C61">
        <v>3</v>
      </c>
      <c r="D61">
        <v>4</v>
      </c>
      <c r="E61">
        <v>5</v>
      </c>
      <c r="F61">
        <v>6</v>
      </c>
      <c r="G61">
        <v>5</v>
      </c>
      <c r="H61">
        <v>8</v>
      </c>
      <c r="I61">
        <v>0</v>
      </c>
      <c r="J61">
        <v>0</v>
      </c>
      <c r="K61">
        <f t="shared" si="13"/>
        <v>2</v>
      </c>
      <c r="L61">
        <f t="shared" si="14"/>
        <v>-2</v>
      </c>
      <c r="M61" t="s">
        <v>82</v>
      </c>
      <c r="O61" t="str">
        <f t="shared" si="15"/>
        <v>[TestCase(1, 4, 3, 4, 5, 6, 5, 8, 0, 0, 2, -2)]</v>
      </c>
    </row>
    <row r="62" spans="1:15" x14ac:dyDescent="0.3">
      <c r="A62">
        <v>1</v>
      </c>
      <c r="B62">
        <v>4</v>
      </c>
      <c r="C62">
        <v>3</v>
      </c>
      <c r="D62">
        <v>4</v>
      </c>
      <c r="E62">
        <v>5</v>
      </c>
      <c r="F62">
        <v>6</v>
      </c>
      <c r="G62">
        <v>4</v>
      </c>
      <c r="H62">
        <v>8</v>
      </c>
      <c r="I62">
        <v>0</v>
      </c>
      <c r="J62">
        <v>0</v>
      </c>
      <c r="K62">
        <f t="shared" si="13"/>
        <v>3</v>
      </c>
      <c r="L62">
        <f t="shared" si="14"/>
        <v>-2</v>
      </c>
      <c r="M62" t="s">
        <v>81</v>
      </c>
      <c r="O62" t="str">
        <f t="shared" si="15"/>
        <v>[TestCase(1, 4, 3, 4, 5, 6, 4, 8, 0, 0, 3, -2)]</v>
      </c>
    </row>
    <row r="63" spans="1:15" x14ac:dyDescent="0.3">
      <c r="A63">
        <v>1.1000000000000001</v>
      </c>
      <c r="B63">
        <v>2.2999999999999998</v>
      </c>
      <c r="C63">
        <v>2.6</v>
      </c>
      <c r="D63">
        <v>4.7</v>
      </c>
      <c r="E63">
        <v>5.9</v>
      </c>
      <c r="F63">
        <v>6.6</v>
      </c>
      <c r="G63">
        <v>7.7</v>
      </c>
      <c r="H63">
        <v>8.8000000000000007</v>
      </c>
      <c r="I63">
        <v>0</v>
      </c>
      <c r="J63">
        <v>0</v>
      </c>
      <c r="K63">
        <f t="shared" ref="K63" si="16">(C63-A63)-(G63-E63)</f>
        <v>-0.29999999999999982</v>
      </c>
      <c r="L63">
        <f t="shared" ref="L63" si="17">(D63-B63)-(H63-F63)</f>
        <v>0.19999999999999929</v>
      </c>
      <c r="O63" t="str">
        <f>"[TestCase("&amp;A63&amp;", "&amp;B63&amp;", "&amp;C63&amp;", "&amp;D63&amp;", "&amp;E63&amp;", "&amp;F63&amp;", "&amp;G63&amp;", "&amp;H63&amp;", "&amp;I63&amp;", "&amp;J63&amp;", "&amp;K63&amp;", "&amp;ROUND(L63,6)&amp;")]"</f>
        <v>[TestCase(1.1, 2.3, 2.6, 4.7, 5.9, 6.6, 7.7, 8.8, 0, 0, -0.3, 0.2)]</v>
      </c>
    </row>
    <row r="64" spans="1:15" ht="13.8" customHeight="1" x14ac:dyDescent="0.3"/>
    <row r="65" spans="1:12" s="2" customFormat="1" x14ac:dyDescent="0.3">
      <c r="A65" s="2" t="s">
        <v>83</v>
      </c>
    </row>
    <row r="66" spans="1:12" x14ac:dyDescent="0.3">
      <c r="A66" s="43" t="s">
        <v>84</v>
      </c>
      <c r="B66" s="43"/>
      <c r="C66" s="42" t="s">
        <v>85</v>
      </c>
      <c r="D66" s="42"/>
      <c r="E66" s="42"/>
      <c r="F66" s="42"/>
      <c r="G66" s="43" t="s">
        <v>86</v>
      </c>
      <c r="H66" s="43"/>
    </row>
    <row r="67" spans="1:12" x14ac:dyDescent="0.3">
      <c r="A67" s="6" t="s">
        <v>60</v>
      </c>
      <c r="B67" s="6" t="s">
        <v>61</v>
      </c>
      <c r="C67" s="6" t="s">
        <v>60</v>
      </c>
      <c r="D67" s="6" t="s">
        <v>61</v>
      </c>
      <c r="E67" s="6" t="s">
        <v>62</v>
      </c>
      <c r="F67" s="6" t="s">
        <v>63</v>
      </c>
      <c r="G67" s="6" t="s">
        <v>60</v>
      </c>
      <c r="H67" s="6" t="s">
        <v>61</v>
      </c>
    </row>
    <row r="68" spans="1:12" x14ac:dyDescent="0.3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f>A68-(E68-C68)</f>
        <v>0</v>
      </c>
      <c r="H68">
        <f>B68-(F68-D68)</f>
        <v>0</v>
      </c>
      <c r="L68" t="str">
        <f>"[TestCase("&amp;A68&amp;", "&amp;B68&amp;", "&amp;C68&amp;", "&amp;D68&amp;", "&amp;E68&amp;", "&amp;F68&amp;", "&amp;G68&amp;", "&amp;H68&amp;")]"</f>
        <v>[TestCase(0, 0, 0, 0, 0, 0, 0, 0)]</v>
      </c>
    </row>
    <row r="69" spans="1:12" x14ac:dyDescent="0.3">
      <c r="A69">
        <v>1</v>
      </c>
      <c r="B69">
        <v>4</v>
      </c>
      <c r="C69">
        <v>5</v>
      </c>
      <c r="D69">
        <v>6</v>
      </c>
      <c r="E69">
        <v>7</v>
      </c>
      <c r="F69">
        <v>8</v>
      </c>
      <c r="G69">
        <f t="shared" ref="G69:G77" si="18">A69-(E69-C69)</f>
        <v>-1</v>
      </c>
      <c r="H69">
        <f t="shared" ref="H69:H77" si="19">B69-(F69-D69)</f>
        <v>2</v>
      </c>
      <c r="I69" t="s">
        <v>75</v>
      </c>
      <c r="L69" t="str">
        <f t="shared" ref="L69:L78" si="20">"[TestCase("&amp;A69&amp;", "&amp;B69&amp;", "&amp;C69&amp;", "&amp;D69&amp;", "&amp;E69&amp;", "&amp;F69&amp;", "&amp;G69&amp;", "&amp;H69&amp;")]"</f>
        <v>[TestCase(1, 4, 5, 6, 7, 8, -1, 2)]</v>
      </c>
    </row>
    <row r="70" spans="1:12" x14ac:dyDescent="0.3">
      <c r="A70">
        <v>-1</v>
      </c>
      <c r="B70">
        <v>4</v>
      </c>
      <c r="C70">
        <v>-5</v>
      </c>
      <c r="D70">
        <v>6</v>
      </c>
      <c r="E70">
        <v>-7</v>
      </c>
      <c r="F70">
        <v>8</v>
      </c>
      <c r="G70">
        <f t="shared" si="18"/>
        <v>1</v>
      </c>
      <c r="H70">
        <f t="shared" si="19"/>
        <v>2</v>
      </c>
      <c r="I70" t="s">
        <v>76</v>
      </c>
      <c r="L70" t="str">
        <f t="shared" si="20"/>
        <v>[TestCase(-1, 4, -5, 6, -7, 8, 1, 2)]</v>
      </c>
    </row>
    <row r="71" spans="1:12" x14ac:dyDescent="0.3">
      <c r="A71">
        <v>-1</v>
      </c>
      <c r="B71">
        <v>-4</v>
      </c>
      <c r="C71">
        <v>-5</v>
      </c>
      <c r="D71">
        <v>-6</v>
      </c>
      <c r="E71">
        <v>-7</v>
      </c>
      <c r="F71">
        <v>-8</v>
      </c>
      <c r="G71">
        <f t="shared" si="18"/>
        <v>1</v>
      </c>
      <c r="H71">
        <f t="shared" si="19"/>
        <v>-2</v>
      </c>
      <c r="I71" t="s">
        <v>77</v>
      </c>
      <c r="L71" t="str">
        <f t="shared" si="20"/>
        <v>[TestCase(-1, -4, -5, -6, -7, -8, 1, -2)]</v>
      </c>
    </row>
    <row r="72" spans="1:12" x14ac:dyDescent="0.3">
      <c r="A72">
        <v>1</v>
      </c>
      <c r="B72">
        <v>-4</v>
      </c>
      <c r="C72">
        <v>5</v>
      </c>
      <c r="D72">
        <v>-6</v>
      </c>
      <c r="E72">
        <v>7</v>
      </c>
      <c r="F72">
        <v>-8</v>
      </c>
      <c r="G72">
        <f t="shared" si="18"/>
        <v>-1</v>
      </c>
      <c r="H72">
        <f t="shared" si="19"/>
        <v>-2</v>
      </c>
      <c r="I72" t="s">
        <v>78</v>
      </c>
      <c r="L72" t="str">
        <f t="shared" si="20"/>
        <v>[TestCase(1, -4, 5, -6, 7, -8, -1, -2)]</v>
      </c>
    </row>
    <row r="73" spans="1:12" x14ac:dyDescent="0.3">
      <c r="A73">
        <v>1</v>
      </c>
      <c r="B73">
        <v>4</v>
      </c>
      <c r="C73">
        <v>-5</v>
      </c>
      <c r="D73">
        <v>-6</v>
      </c>
      <c r="E73">
        <v>-7</v>
      </c>
      <c r="F73">
        <v>-8</v>
      </c>
      <c r="G73">
        <f t="shared" si="18"/>
        <v>3</v>
      </c>
      <c r="H73">
        <f t="shared" si="19"/>
        <v>6</v>
      </c>
      <c r="I73" t="s">
        <v>88</v>
      </c>
      <c r="L73" t="str">
        <f t="shared" si="20"/>
        <v>[TestCase(1, 4, -5, -6, -7, -8, 3, 6)]</v>
      </c>
    </row>
    <row r="74" spans="1:12" x14ac:dyDescent="0.3">
      <c r="A74">
        <v>1</v>
      </c>
      <c r="B74">
        <v>4</v>
      </c>
      <c r="C74">
        <v>-5</v>
      </c>
      <c r="D74">
        <v>6</v>
      </c>
      <c r="E74">
        <v>-7</v>
      </c>
      <c r="F74">
        <v>8</v>
      </c>
      <c r="G74">
        <f t="shared" si="18"/>
        <v>3</v>
      </c>
      <c r="H74">
        <f t="shared" si="19"/>
        <v>2</v>
      </c>
      <c r="I74" t="s">
        <v>79</v>
      </c>
      <c r="L74" t="str">
        <f t="shared" si="20"/>
        <v>[TestCase(1, 4, -5, 6, -7, 8, 3, 2)]</v>
      </c>
    </row>
    <row r="75" spans="1:12" x14ac:dyDescent="0.3">
      <c r="A75">
        <v>1</v>
      </c>
      <c r="B75">
        <v>4</v>
      </c>
      <c r="C75">
        <v>5</v>
      </c>
      <c r="D75">
        <v>-6</v>
      </c>
      <c r="E75">
        <v>7</v>
      </c>
      <c r="F75">
        <v>-8</v>
      </c>
      <c r="G75">
        <f t="shared" si="18"/>
        <v>-1</v>
      </c>
      <c r="H75">
        <f t="shared" si="19"/>
        <v>6</v>
      </c>
      <c r="I75" t="s">
        <v>80</v>
      </c>
      <c r="L75" t="str">
        <f t="shared" si="20"/>
        <v>[TestCase(1, 4, 5, -6, 7, -8, -1, 6)]</v>
      </c>
    </row>
    <row r="76" spans="1:12" x14ac:dyDescent="0.3">
      <c r="A76">
        <v>1</v>
      </c>
      <c r="B76">
        <v>4</v>
      </c>
      <c r="C76">
        <v>5</v>
      </c>
      <c r="D76">
        <v>6</v>
      </c>
      <c r="E76">
        <v>5</v>
      </c>
      <c r="F76">
        <v>8</v>
      </c>
      <c r="G76">
        <f t="shared" si="18"/>
        <v>1</v>
      </c>
      <c r="H76">
        <f t="shared" si="19"/>
        <v>2</v>
      </c>
      <c r="I76" t="s">
        <v>82</v>
      </c>
      <c r="L76" t="str">
        <f t="shared" si="20"/>
        <v>[TestCase(1, 4, 5, 6, 5, 8, 1, 2)]</v>
      </c>
    </row>
    <row r="77" spans="1:12" x14ac:dyDescent="0.3">
      <c r="A77">
        <v>1</v>
      </c>
      <c r="B77">
        <v>4</v>
      </c>
      <c r="C77">
        <v>5</v>
      </c>
      <c r="D77">
        <v>6</v>
      </c>
      <c r="E77">
        <v>4</v>
      </c>
      <c r="F77">
        <v>8</v>
      </c>
      <c r="G77">
        <f t="shared" si="18"/>
        <v>2</v>
      </c>
      <c r="H77">
        <f t="shared" si="19"/>
        <v>2</v>
      </c>
      <c r="I77" t="s">
        <v>81</v>
      </c>
      <c r="L77" t="str">
        <f t="shared" si="20"/>
        <v>[TestCase(1, 4, 5, 6, 4, 8, 2, 2)]</v>
      </c>
    </row>
    <row r="78" spans="1:12" x14ac:dyDescent="0.3">
      <c r="A78">
        <v>1.1000000000000001</v>
      </c>
      <c r="B78">
        <v>4.4000000000000004</v>
      </c>
      <c r="C78">
        <v>5.5</v>
      </c>
      <c r="D78">
        <v>6.6</v>
      </c>
      <c r="E78">
        <v>4.4000000000000004</v>
      </c>
      <c r="F78">
        <v>8.1</v>
      </c>
      <c r="G78">
        <f t="shared" ref="G78" si="21">A78-(E78-C78)</f>
        <v>2.1999999999999997</v>
      </c>
      <c r="H78">
        <f t="shared" ref="H78" si="22">B78-(F78-D78)</f>
        <v>2.9000000000000004</v>
      </c>
      <c r="L78" t="str">
        <f t="shared" si="20"/>
        <v>[TestCase(1.1, 4.4, 5.5, 6.6, 4.4, 8.1, 2.2, 2.9)]</v>
      </c>
    </row>
    <row r="80" spans="1:12" s="2" customFormat="1" x14ac:dyDescent="0.3">
      <c r="A80" s="2" t="s">
        <v>87</v>
      </c>
    </row>
    <row r="81" spans="1:12" x14ac:dyDescent="0.3">
      <c r="A81" s="43" t="s">
        <v>84</v>
      </c>
      <c r="B81" s="43"/>
      <c r="C81" s="42" t="s">
        <v>85</v>
      </c>
      <c r="D81" s="42"/>
      <c r="E81" s="42"/>
      <c r="F81" s="42"/>
      <c r="G81" s="43" t="s">
        <v>86</v>
      </c>
      <c r="H81" s="43"/>
    </row>
    <row r="82" spans="1:12" x14ac:dyDescent="0.3">
      <c r="A82" s="6" t="s">
        <v>60</v>
      </c>
      <c r="B82" s="6" t="s">
        <v>61</v>
      </c>
      <c r="C82" s="6" t="s">
        <v>60</v>
      </c>
      <c r="D82" s="6" t="s">
        <v>61</v>
      </c>
      <c r="E82" s="6" t="s">
        <v>62</v>
      </c>
      <c r="F82" s="6" t="s">
        <v>63</v>
      </c>
      <c r="G82" s="6" t="s">
        <v>60</v>
      </c>
      <c r="H82" s="6" t="s">
        <v>61</v>
      </c>
    </row>
    <row r="83" spans="1:12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f>(E83-C83)-A83</f>
        <v>0</v>
      </c>
      <c r="H83">
        <f>(F83-D83)-B83</f>
        <v>0</v>
      </c>
      <c r="L83" t="str">
        <f>"[TestCase("&amp;A83&amp;", "&amp;B83&amp;", "&amp;C83&amp;", "&amp;D83&amp;", "&amp;E83&amp;", "&amp;F83&amp;", "&amp;G83&amp;", "&amp;H83&amp;")]"</f>
        <v>[TestCase(0, 0, 0, 0, 0, 0, 0, 0)]</v>
      </c>
    </row>
    <row r="84" spans="1:12" x14ac:dyDescent="0.3">
      <c r="A84">
        <v>1</v>
      </c>
      <c r="B84">
        <v>4</v>
      </c>
      <c r="C84">
        <v>5</v>
      </c>
      <c r="D84">
        <v>6</v>
      </c>
      <c r="E84">
        <v>7</v>
      </c>
      <c r="F84">
        <v>8</v>
      </c>
      <c r="G84">
        <f t="shared" ref="G84:G92" si="23">(E84-C84)-A84</f>
        <v>1</v>
      </c>
      <c r="H84">
        <f t="shared" ref="H84:H92" si="24">(F84-D84)-B84</f>
        <v>-2</v>
      </c>
      <c r="I84" t="s">
        <v>75</v>
      </c>
      <c r="L84" t="str">
        <f t="shared" ref="L84:L93" si="25">"[TestCase("&amp;A84&amp;", "&amp;B84&amp;", "&amp;C84&amp;", "&amp;D84&amp;", "&amp;E84&amp;", "&amp;F84&amp;", "&amp;G84&amp;", "&amp;H84&amp;")]"</f>
        <v>[TestCase(1, 4, 5, 6, 7, 8, 1, -2)]</v>
      </c>
    </row>
    <row r="85" spans="1:12" x14ac:dyDescent="0.3">
      <c r="A85">
        <v>-1</v>
      </c>
      <c r="B85">
        <v>4</v>
      </c>
      <c r="C85">
        <v>-5</v>
      </c>
      <c r="D85">
        <v>6</v>
      </c>
      <c r="E85">
        <v>-7</v>
      </c>
      <c r="F85">
        <v>8</v>
      </c>
      <c r="G85">
        <f t="shared" si="23"/>
        <v>-1</v>
      </c>
      <c r="H85">
        <f t="shared" si="24"/>
        <v>-2</v>
      </c>
      <c r="I85" t="s">
        <v>76</v>
      </c>
      <c r="L85" t="str">
        <f t="shared" si="25"/>
        <v>[TestCase(-1, 4, -5, 6, -7, 8, -1, -2)]</v>
      </c>
    </row>
    <row r="86" spans="1:12" x14ac:dyDescent="0.3">
      <c r="A86">
        <v>-1</v>
      </c>
      <c r="B86">
        <v>-4</v>
      </c>
      <c r="C86">
        <v>-5</v>
      </c>
      <c r="D86">
        <v>-6</v>
      </c>
      <c r="E86">
        <v>-7</v>
      </c>
      <c r="F86">
        <v>-8</v>
      </c>
      <c r="G86">
        <f t="shared" si="23"/>
        <v>-1</v>
      </c>
      <c r="H86">
        <f t="shared" si="24"/>
        <v>2</v>
      </c>
      <c r="I86" t="s">
        <v>77</v>
      </c>
      <c r="L86" t="str">
        <f t="shared" si="25"/>
        <v>[TestCase(-1, -4, -5, -6, -7, -8, -1, 2)]</v>
      </c>
    </row>
    <row r="87" spans="1:12" x14ac:dyDescent="0.3">
      <c r="A87">
        <v>1</v>
      </c>
      <c r="B87">
        <v>-4</v>
      </c>
      <c r="C87">
        <v>5</v>
      </c>
      <c r="D87">
        <v>-6</v>
      </c>
      <c r="E87">
        <v>7</v>
      </c>
      <c r="F87">
        <v>-8</v>
      </c>
      <c r="G87">
        <f t="shared" si="23"/>
        <v>1</v>
      </c>
      <c r="H87">
        <f t="shared" si="24"/>
        <v>2</v>
      </c>
      <c r="I87" t="s">
        <v>78</v>
      </c>
      <c r="L87" t="str">
        <f t="shared" si="25"/>
        <v>[TestCase(1, -4, 5, -6, 7, -8, 1, 2)]</v>
      </c>
    </row>
    <row r="88" spans="1:12" x14ac:dyDescent="0.3">
      <c r="A88">
        <v>1</v>
      </c>
      <c r="B88">
        <v>4</v>
      </c>
      <c r="C88">
        <v>-5</v>
      </c>
      <c r="D88">
        <v>-6</v>
      </c>
      <c r="E88">
        <v>-7</v>
      </c>
      <c r="F88">
        <v>-8</v>
      </c>
      <c r="G88">
        <f t="shared" si="23"/>
        <v>-3</v>
      </c>
      <c r="H88">
        <f t="shared" si="24"/>
        <v>-6</v>
      </c>
      <c r="I88" t="s">
        <v>88</v>
      </c>
      <c r="L88" t="str">
        <f t="shared" si="25"/>
        <v>[TestCase(1, 4, -5, -6, -7, -8, -3, -6)]</v>
      </c>
    </row>
    <row r="89" spans="1:12" x14ac:dyDescent="0.3">
      <c r="A89">
        <v>1</v>
      </c>
      <c r="B89">
        <v>4</v>
      </c>
      <c r="C89">
        <v>-5</v>
      </c>
      <c r="D89">
        <v>6</v>
      </c>
      <c r="E89">
        <v>-7</v>
      </c>
      <c r="F89">
        <v>8</v>
      </c>
      <c r="G89">
        <f t="shared" si="23"/>
        <v>-3</v>
      </c>
      <c r="H89">
        <f t="shared" si="24"/>
        <v>-2</v>
      </c>
      <c r="I89" t="s">
        <v>79</v>
      </c>
      <c r="L89" t="str">
        <f t="shared" si="25"/>
        <v>[TestCase(1, 4, -5, 6, -7, 8, -3, -2)]</v>
      </c>
    </row>
    <row r="90" spans="1:12" x14ac:dyDescent="0.3">
      <c r="A90">
        <v>1</v>
      </c>
      <c r="B90">
        <v>4</v>
      </c>
      <c r="C90">
        <v>5</v>
      </c>
      <c r="D90">
        <v>-6</v>
      </c>
      <c r="E90">
        <v>7</v>
      </c>
      <c r="F90">
        <v>-8</v>
      </c>
      <c r="G90">
        <f t="shared" si="23"/>
        <v>1</v>
      </c>
      <c r="H90">
        <f t="shared" si="24"/>
        <v>-6</v>
      </c>
      <c r="I90" t="s">
        <v>80</v>
      </c>
      <c r="L90" t="str">
        <f t="shared" si="25"/>
        <v>[TestCase(1, 4, 5, -6, 7, -8, 1, -6)]</v>
      </c>
    </row>
    <row r="91" spans="1:12" x14ac:dyDescent="0.3">
      <c r="A91">
        <v>1</v>
      </c>
      <c r="B91">
        <v>4</v>
      </c>
      <c r="C91">
        <v>5</v>
      </c>
      <c r="D91">
        <v>6</v>
      </c>
      <c r="E91">
        <v>5</v>
      </c>
      <c r="F91">
        <v>8</v>
      </c>
      <c r="G91">
        <f t="shared" si="23"/>
        <v>-1</v>
      </c>
      <c r="H91">
        <f t="shared" si="24"/>
        <v>-2</v>
      </c>
      <c r="I91" t="s">
        <v>82</v>
      </c>
      <c r="L91" t="str">
        <f t="shared" si="25"/>
        <v>[TestCase(1, 4, 5, 6, 5, 8, -1, -2)]</v>
      </c>
    </row>
    <row r="92" spans="1:12" x14ac:dyDescent="0.3">
      <c r="A92">
        <v>1</v>
      </c>
      <c r="B92">
        <v>4</v>
      </c>
      <c r="C92">
        <v>5</v>
      </c>
      <c r="D92">
        <v>6</v>
      </c>
      <c r="E92">
        <v>4</v>
      </c>
      <c r="F92">
        <v>8</v>
      </c>
      <c r="G92">
        <f t="shared" si="23"/>
        <v>-2</v>
      </c>
      <c r="H92">
        <f t="shared" si="24"/>
        <v>-2</v>
      </c>
      <c r="I92" t="s">
        <v>81</v>
      </c>
      <c r="L92" t="str">
        <f t="shared" si="25"/>
        <v>[TestCase(1, 4, 5, 6, 4, 8, -2, -2)]</v>
      </c>
    </row>
    <row r="93" spans="1:12" x14ac:dyDescent="0.3">
      <c r="A93">
        <v>1.1000000000000001</v>
      </c>
      <c r="B93">
        <v>4.4000000000000004</v>
      </c>
      <c r="C93">
        <v>5.5</v>
      </c>
      <c r="D93">
        <v>6.6</v>
      </c>
      <c r="E93">
        <v>4.4000000000000004</v>
      </c>
      <c r="F93">
        <v>8.1</v>
      </c>
      <c r="G93">
        <f t="shared" ref="G93" si="26">(E93-C93)-A93</f>
        <v>-2.1999999999999997</v>
      </c>
      <c r="H93">
        <f t="shared" ref="H93" si="27">(F93-D93)-B93</f>
        <v>-2.9000000000000004</v>
      </c>
      <c r="L93" t="str">
        <f t="shared" si="25"/>
        <v>[TestCase(1.1, 4.4, 5.5, 6.6, 4.4, 8.1, -2.2, -2.9)]</v>
      </c>
    </row>
    <row r="95" spans="1:12" s="2" customFormat="1" x14ac:dyDescent="0.3">
      <c r="A95" s="2" t="s">
        <v>7</v>
      </c>
    </row>
    <row r="96" spans="1:12" x14ac:dyDescent="0.3">
      <c r="A96" s="6" t="s">
        <v>60</v>
      </c>
      <c r="B96" s="6" t="s">
        <v>61</v>
      </c>
      <c r="C96" s="6" t="s">
        <v>62</v>
      </c>
      <c r="D96" s="6" t="s">
        <v>63</v>
      </c>
      <c r="E96" s="6" t="s">
        <v>67</v>
      </c>
      <c r="F96" s="6" t="s">
        <v>68</v>
      </c>
      <c r="G96" s="6" t="s">
        <v>69</v>
      </c>
      <c r="H96" s="6" t="s">
        <v>70</v>
      </c>
      <c r="I96" s="6" t="s">
        <v>71</v>
      </c>
    </row>
    <row r="97" spans="1:12" x14ac:dyDescent="0.3">
      <c r="A97">
        <v>0</v>
      </c>
      <c r="B97">
        <v>0</v>
      </c>
      <c r="C97">
        <f>B97</f>
        <v>0</v>
      </c>
      <c r="D97">
        <f>A97</f>
        <v>0</v>
      </c>
      <c r="E97" s="6">
        <v>0</v>
      </c>
      <c r="F97">
        <f>$E97*A97</f>
        <v>0</v>
      </c>
      <c r="G97">
        <f>$E97*B97</f>
        <v>0</v>
      </c>
      <c r="H97">
        <f>$E97*C97</f>
        <v>0</v>
      </c>
      <c r="I97">
        <f>$E97*D97</f>
        <v>0</v>
      </c>
      <c r="L97" t="str">
        <f>"[TestCase("&amp;A97&amp;", "&amp;B97&amp;", "&amp;E97&amp;", "&amp;ROUND(F97,6)&amp;", "&amp;ROUND(G97,6)&amp;", "&amp;ROUND(H97,6)&amp;", "&amp;ROUND(I97,6)&amp;")]"</f>
        <v>[TestCase(0, 0, 0, 0, 0, 0, 0)]</v>
      </c>
    </row>
    <row r="98" spans="1:12" x14ac:dyDescent="0.3">
      <c r="A98">
        <v>0</v>
      </c>
      <c r="B98">
        <v>0</v>
      </c>
      <c r="C98">
        <f t="shared" ref="C98:C104" si="28">B98</f>
        <v>0</v>
      </c>
      <c r="D98">
        <f t="shared" ref="D98:D104" si="29">A98</f>
        <v>0</v>
      </c>
      <c r="E98" s="6">
        <v>2</v>
      </c>
      <c r="F98">
        <f t="shared" ref="F98:F104" si="30">$E98*A98</f>
        <v>0</v>
      </c>
      <c r="G98">
        <f t="shared" ref="G98:G104" si="31">$E98*B98</f>
        <v>0</v>
      </c>
      <c r="H98">
        <f t="shared" ref="H98:H104" si="32">$E98*C98</f>
        <v>0</v>
      </c>
      <c r="I98">
        <f t="shared" ref="I98:I104" si="33">$E98*D98</f>
        <v>0</v>
      </c>
      <c r="L98" t="str">
        <f t="shared" ref="L98:L104" si="34">"[TestCase("&amp;A98&amp;", "&amp;B98&amp;", "&amp;E98&amp;", "&amp;ROUND(F98,6)&amp;", "&amp;ROUND(G98,6)&amp;", "&amp;ROUND(H98,6)&amp;", "&amp;ROUND(I98,6)&amp;")]"</f>
        <v>[TestCase(0, 0, 2, 0, 0, 0, 0)]</v>
      </c>
    </row>
    <row r="99" spans="1:12" x14ac:dyDescent="0.3">
      <c r="A99">
        <v>2</v>
      </c>
      <c r="B99">
        <v>3</v>
      </c>
      <c r="C99">
        <f t="shared" si="28"/>
        <v>3</v>
      </c>
      <c r="D99">
        <f t="shared" si="29"/>
        <v>2</v>
      </c>
      <c r="E99" s="6">
        <v>0</v>
      </c>
      <c r="F99">
        <f t="shared" si="30"/>
        <v>0</v>
      </c>
      <c r="G99">
        <f t="shared" si="31"/>
        <v>0</v>
      </c>
      <c r="H99">
        <f t="shared" si="32"/>
        <v>0</v>
      </c>
      <c r="I99">
        <f t="shared" si="33"/>
        <v>0</v>
      </c>
      <c r="L99" t="str">
        <f t="shared" si="34"/>
        <v>[TestCase(2, 3, 0, 0, 0, 0, 0)]</v>
      </c>
    </row>
    <row r="100" spans="1:12" x14ac:dyDescent="0.3">
      <c r="A100">
        <v>2</v>
      </c>
      <c r="B100">
        <v>3</v>
      </c>
      <c r="C100">
        <f t="shared" si="28"/>
        <v>3</v>
      </c>
      <c r="D100">
        <f t="shared" si="29"/>
        <v>2</v>
      </c>
      <c r="E100" s="6">
        <v>1</v>
      </c>
      <c r="F100">
        <f t="shared" si="30"/>
        <v>2</v>
      </c>
      <c r="G100">
        <f t="shared" si="31"/>
        <v>3</v>
      </c>
      <c r="H100">
        <f t="shared" si="32"/>
        <v>3</v>
      </c>
      <c r="I100">
        <f t="shared" si="33"/>
        <v>2</v>
      </c>
      <c r="L100" t="str">
        <f t="shared" si="34"/>
        <v>[TestCase(2, 3, 1, 2, 3, 3, 2)]</v>
      </c>
    </row>
    <row r="101" spans="1:12" x14ac:dyDescent="0.3">
      <c r="A101">
        <v>2</v>
      </c>
      <c r="B101">
        <v>3</v>
      </c>
      <c r="C101">
        <f t="shared" si="28"/>
        <v>3</v>
      </c>
      <c r="D101">
        <f t="shared" si="29"/>
        <v>2</v>
      </c>
      <c r="E101" s="6">
        <v>-1</v>
      </c>
      <c r="F101">
        <f t="shared" si="30"/>
        <v>-2</v>
      </c>
      <c r="G101">
        <f t="shared" si="31"/>
        <v>-3</v>
      </c>
      <c r="H101">
        <f t="shared" si="32"/>
        <v>-3</v>
      </c>
      <c r="I101">
        <f t="shared" si="33"/>
        <v>-2</v>
      </c>
      <c r="L101" t="str">
        <f t="shared" si="34"/>
        <v>[TestCase(2, 3, -1, -2, -3, -3, -2)]</v>
      </c>
    </row>
    <row r="102" spans="1:12" x14ac:dyDescent="0.3">
      <c r="A102">
        <v>2</v>
      </c>
      <c r="B102">
        <v>3</v>
      </c>
      <c r="C102">
        <f t="shared" si="28"/>
        <v>3</v>
      </c>
      <c r="D102">
        <f t="shared" si="29"/>
        <v>2</v>
      </c>
      <c r="E102" s="6">
        <v>3.2</v>
      </c>
      <c r="F102">
        <f t="shared" si="30"/>
        <v>6.4</v>
      </c>
      <c r="G102">
        <f t="shared" si="31"/>
        <v>9.6000000000000014</v>
      </c>
      <c r="H102">
        <f t="shared" si="32"/>
        <v>9.6000000000000014</v>
      </c>
      <c r="I102">
        <f t="shared" si="33"/>
        <v>6.4</v>
      </c>
      <c r="L102" t="str">
        <f t="shared" si="34"/>
        <v>[TestCase(2, 3, 3.2, 6.4, 9.6, 9.6, 6.4)]</v>
      </c>
    </row>
    <row r="103" spans="1:12" x14ac:dyDescent="0.3">
      <c r="A103">
        <v>2</v>
      </c>
      <c r="B103">
        <v>3</v>
      </c>
      <c r="C103">
        <f t="shared" si="28"/>
        <v>3</v>
      </c>
      <c r="D103">
        <f t="shared" si="29"/>
        <v>2</v>
      </c>
      <c r="E103" s="6">
        <v>-1.2</v>
      </c>
      <c r="F103">
        <f t="shared" si="30"/>
        <v>-2.4</v>
      </c>
      <c r="G103">
        <f t="shared" si="31"/>
        <v>-3.5999999999999996</v>
      </c>
      <c r="H103">
        <f t="shared" si="32"/>
        <v>-3.5999999999999996</v>
      </c>
      <c r="I103">
        <f t="shared" si="33"/>
        <v>-2.4</v>
      </c>
      <c r="L103" t="str">
        <f t="shared" si="34"/>
        <v>[TestCase(2, 3, -1.2, -2.4, -3.6, -3.6, -2.4)]</v>
      </c>
    </row>
    <row r="104" spans="1:12" x14ac:dyDescent="0.3">
      <c r="A104">
        <v>2.2000000000000002</v>
      </c>
      <c r="B104">
        <v>3.1</v>
      </c>
      <c r="C104">
        <f t="shared" si="28"/>
        <v>3.1</v>
      </c>
      <c r="D104">
        <f t="shared" si="29"/>
        <v>2.2000000000000002</v>
      </c>
      <c r="E104" s="6">
        <v>5.4</v>
      </c>
      <c r="F104">
        <f t="shared" si="30"/>
        <v>11.880000000000003</v>
      </c>
      <c r="G104">
        <f t="shared" si="31"/>
        <v>16.740000000000002</v>
      </c>
      <c r="H104">
        <f t="shared" si="32"/>
        <v>16.740000000000002</v>
      </c>
      <c r="I104">
        <f t="shared" si="33"/>
        <v>11.880000000000003</v>
      </c>
      <c r="L104" t="str">
        <f t="shared" si="34"/>
        <v>[TestCase(2.2, 3.1, 5.4, 11.88, 16.74, 16.74, 11.88)]</v>
      </c>
    </row>
    <row r="106" spans="1:12" s="2" customFormat="1" x14ac:dyDescent="0.3">
      <c r="A106" s="2" t="s">
        <v>8</v>
      </c>
    </row>
    <row r="107" spans="1:12" x14ac:dyDescent="0.3">
      <c r="A107" s="6" t="s">
        <v>60</v>
      </c>
      <c r="B107" s="6" t="s">
        <v>61</v>
      </c>
      <c r="C107" s="6" t="s">
        <v>62</v>
      </c>
      <c r="D107" s="6" t="s">
        <v>63</v>
      </c>
      <c r="E107" s="6" t="s">
        <v>67</v>
      </c>
      <c r="F107" s="6" t="s">
        <v>68</v>
      </c>
      <c r="G107" s="6" t="s">
        <v>69</v>
      </c>
      <c r="H107" s="6" t="s">
        <v>70</v>
      </c>
      <c r="I107" s="6" t="s">
        <v>71</v>
      </c>
    </row>
    <row r="108" spans="1:12" x14ac:dyDescent="0.3">
      <c r="A108">
        <v>0</v>
      </c>
      <c r="B108">
        <v>0</v>
      </c>
      <c r="C108">
        <f>B108</f>
        <v>0</v>
      </c>
      <c r="D108">
        <f>A108</f>
        <v>0</v>
      </c>
      <c r="E108">
        <v>0</v>
      </c>
      <c r="F108" t="e">
        <f>A108/$E108</f>
        <v>#DIV/0!</v>
      </c>
      <c r="G108" t="e">
        <f t="shared" ref="G108:I108" si="35">B108/$E108</f>
        <v>#DIV/0!</v>
      </c>
      <c r="H108" t="e">
        <f t="shared" si="35"/>
        <v>#DIV/0!</v>
      </c>
      <c r="I108" t="e">
        <f t="shared" si="35"/>
        <v>#DIV/0!</v>
      </c>
      <c r="L108" t="e">
        <f>"[TestCase("&amp;A108&amp;", "&amp;B108&amp;", "&amp;E108&amp;", "&amp;ROUND(F108,6)&amp;", "&amp;ROUND(G108,6)&amp;", "&amp;ROUND(H108,6)&amp;", "&amp;ROUND(I108,6)&amp;")]"</f>
        <v>#DIV/0!</v>
      </c>
    </row>
    <row r="109" spans="1:12" x14ac:dyDescent="0.3">
      <c r="A109">
        <v>0</v>
      </c>
      <c r="B109">
        <v>0</v>
      </c>
      <c r="C109">
        <f t="shared" ref="C109:C114" si="36">B109</f>
        <v>0</v>
      </c>
      <c r="D109">
        <f t="shared" ref="D109:D114" si="37">A109</f>
        <v>0</v>
      </c>
      <c r="E109">
        <v>2</v>
      </c>
      <c r="F109">
        <f>A109/$E109</f>
        <v>0</v>
      </c>
      <c r="G109">
        <f>B109/$E109</f>
        <v>0</v>
      </c>
      <c r="H109">
        <f>C109/$E109</f>
        <v>0</v>
      </c>
      <c r="I109">
        <f>D109/$E109</f>
        <v>0</v>
      </c>
      <c r="L109" t="str">
        <f t="shared" ref="L109:L114" si="38">"[TestCase("&amp;A109&amp;", "&amp;B109&amp;", "&amp;E109&amp;", "&amp;ROUND(F109,6)&amp;", "&amp;ROUND(G109,6)&amp;", "&amp;ROUND(H109,6)&amp;", "&amp;ROUND(I109,6)&amp;")]"</f>
        <v>[TestCase(0, 0, 2, 0, 0, 0, 0)]</v>
      </c>
    </row>
    <row r="110" spans="1:12" x14ac:dyDescent="0.3">
      <c r="A110">
        <v>2</v>
      </c>
      <c r="B110">
        <v>3</v>
      </c>
      <c r="C110">
        <f t="shared" si="36"/>
        <v>3</v>
      </c>
      <c r="D110">
        <f t="shared" si="37"/>
        <v>2</v>
      </c>
      <c r="E110">
        <v>1</v>
      </c>
      <c r="F110">
        <f t="shared" ref="F110:F114" si="39">A110/$E110</f>
        <v>2</v>
      </c>
      <c r="G110">
        <f t="shared" ref="G110:G114" si="40">B110/$E110</f>
        <v>3</v>
      </c>
      <c r="H110">
        <f t="shared" ref="H110:H114" si="41">C110/$E110</f>
        <v>3</v>
      </c>
      <c r="I110">
        <f t="shared" ref="I110:I114" si="42">D110/$E110</f>
        <v>2</v>
      </c>
      <c r="L110" t="str">
        <f t="shared" si="38"/>
        <v>[TestCase(2, 3, 1, 2, 3, 3, 2)]</v>
      </c>
    </row>
    <row r="111" spans="1:12" x14ac:dyDescent="0.3">
      <c r="A111">
        <v>2</v>
      </c>
      <c r="B111">
        <v>3</v>
      </c>
      <c r="C111">
        <f t="shared" si="36"/>
        <v>3</v>
      </c>
      <c r="D111">
        <f t="shared" si="37"/>
        <v>2</v>
      </c>
      <c r="E111">
        <v>-1</v>
      </c>
      <c r="F111">
        <f t="shared" si="39"/>
        <v>-2</v>
      </c>
      <c r="G111">
        <f t="shared" si="40"/>
        <v>-3</v>
      </c>
      <c r="H111">
        <f t="shared" si="41"/>
        <v>-3</v>
      </c>
      <c r="I111">
        <f t="shared" si="42"/>
        <v>-2</v>
      </c>
      <c r="L111" t="str">
        <f t="shared" si="38"/>
        <v>[TestCase(2, 3, -1, -2, -3, -3, -2)]</v>
      </c>
    </row>
    <row r="112" spans="1:12" s="3" customFormat="1" x14ac:dyDescent="0.3">
      <c r="A112" s="3">
        <v>2</v>
      </c>
      <c r="B112" s="3">
        <v>3</v>
      </c>
      <c r="C112" s="3">
        <f t="shared" si="36"/>
        <v>3</v>
      </c>
      <c r="D112" s="3">
        <f t="shared" si="37"/>
        <v>2</v>
      </c>
      <c r="E112" s="4">
        <v>3.2</v>
      </c>
      <c r="F112" s="3">
        <f t="shared" si="39"/>
        <v>0.625</v>
      </c>
      <c r="G112" s="3">
        <f t="shared" si="40"/>
        <v>0.9375</v>
      </c>
      <c r="H112" s="3">
        <f t="shared" si="41"/>
        <v>0.9375</v>
      </c>
      <c r="I112" s="3">
        <f t="shared" si="42"/>
        <v>0.625</v>
      </c>
      <c r="L112" s="3" t="str">
        <f t="shared" si="38"/>
        <v>[TestCase(2, 3, 3.2, 0.625, 0.9375, 0.9375, 0.625)]</v>
      </c>
    </row>
    <row r="113" spans="1:12" s="3" customFormat="1" x14ac:dyDescent="0.3">
      <c r="A113" s="3">
        <v>2</v>
      </c>
      <c r="B113" s="3">
        <v>3</v>
      </c>
      <c r="C113" s="3">
        <f t="shared" si="36"/>
        <v>3</v>
      </c>
      <c r="D113" s="3">
        <f t="shared" si="37"/>
        <v>2</v>
      </c>
      <c r="E113" s="4">
        <v>-1.2</v>
      </c>
      <c r="F113" s="3">
        <f t="shared" si="39"/>
        <v>-1.6666666666666667</v>
      </c>
      <c r="G113" s="3">
        <f t="shared" si="40"/>
        <v>-2.5</v>
      </c>
      <c r="H113" s="3">
        <f t="shared" si="41"/>
        <v>-2.5</v>
      </c>
      <c r="I113" s="3">
        <f t="shared" si="42"/>
        <v>-1.6666666666666667</v>
      </c>
      <c r="L113" s="3" t="str">
        <f t="shared" si="38"/>
        <v>[TestCase(2, 3, -1.2, -1.666667, -2.5, -2.5, -1.666667)]</v>
      </c>
    </row>
    <row r="114" spans="1:12" s="3" customFormat="1" x14ac:dyDescent="0.3">
      <c r="A114" s="3">
        <v>2.2000000000000002</v>
      </c>
      <c r="B114" s="3">
        <v>3.1</v>
      </c>
      <c r="C114" s="3">
        <f t="shared" si="36"/>
        <v>3.1</v>
      </c>
      <c r="D114" s="3">
        <f t="shared" si="37"/>
        <v>2.2000000000000002</v>
      </c>
      <c r="E114" s="4">
        <v>5.4</v>
      </c>
      <c r="F114" s="3">
        <f t="shared" si="39"/>
        <v>0.40740740740740744</v>
      </c>
      <c r="G114" s="3">
        <f t="shared" si="40"/>
        <v>0.57407407407407407</v>
      </c>
      <c r="H114" s="3">
        <f t="shared" si="41"/>
        <v>0.57407407407407407</v>
      </c>
      <c r="I114" s="3">
        <f t="shared" si="42"/>
        <v>0.40740740740740744</v>
      </c>
      <c r="L114" s="3" t="str">
        <f t="shared" si="38"/>
        <v>[TestCase(2.2, 3.1, 5.4, 0.407407, 0.574074, 0.574074, 0.407407)]</v>
      </c>
    </row>
  </sheetData>
  <mergeCells count="15">
    <mergeCell ref="A66:B66"/>
    <mergeCell ref="C66:F66"/>
    <mergeCell ref="G66:H66"/>
    <mergeCell ref="A81:B81"/>
    <mergeCell ref="C81:F81"/>
    <mergeCell ref="G81:H81"/>
    <mergeCell ref="A21:D21"/>
    <mergeCell ref="E21:H21"/>
    <mergeCell ref="I21:L21"/>
    <mergeCell ref="A51:D51"/>
    <mergeCell ref="E51:H51"/>
    <mergeCell ref="I51:L51"/>
    <mergeCell ref="C36:F36"/>
    <mergeCell ref="A36:B36"/>
    <mergeCell ref="G36:H36"/>
  </mergeCells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F9444-A8E7-4D49-9ABE-CE6471863689}">
  <sheetPr codeName="Sheet9"/>
  <dimension ref="A1:G121"/>
  <sheetViews>
    <sheetView topLeftCell="A82" zoomScaleNormal="100" workbookViewId="0">
      <selection activeCell="I106" sqref="I106"/>
    </sheetView>
  </sheetViews>
  <sheetFormatPr defaultRowHeight="14.4" x14ac:dyDescent="0.3"/>
  <cols>
    <col min="1" max="1" width="14.77734375" customWidth="1"/>
    <col min="2" max="2" width="13.6640625" customWidth="1"/>
    <col min="3" max="3" width="15.77734375" customWidth="1"/>
  </cols>
  <sheetData>
    <row r="1" spans="1:7" s="2" customFormat="1" x14ac:dyDescent="0.3">
      <c r="A1" s="2" t="s">
        <v>21</v>
      </c>
    </row>
    <row r="2" spans="1:7" x14ac:dyDescent="0.3">
      <c r="A2" s="6" t="s">
        <v>32</v>
      </c>
      <c r="B2" s="6" t="s">
        <v>33</v>
      </c>
      <c r="C2" s="6"/>
      <c r="D2" s="6" t="s">
        <v>34</v>
      </c>
      <c r="E2" s="6"/>
      <c r="F2" s="6"/>
      <c r="G2" s="6" t="s">
        <v>35</v>
      </c>
    </row>
    <row r="3" spans="1:7" x14ac:dyDescent="0.3">
      <c r="A3">
        <v>0</v>
      </c>
      <c r="B3">
        <v>0</v>
      </c>
      <c r="D3" t="str">
        <f>"[TestCase("&amp;A3&amp;","&amp;B3&amp;")]"</f>
        <v>[TestCase(0,0)]</v>
      </c>
      <c r="G3" t="str">
        <f>"[TestCase("&amp;B3&amp;","&amp;A3&amp;")]"</f>
        <v>[TestCase(0,0)]</v>
      </c>
    </row>
    <row r="4" spans="1:7" x14ac:dyDescent="0.3">
      <c r="A4">
        <v>45</v>
      </c>
      <c r="B4" s="5">
        <f>PI()/4</f>
        <v>0.78539816339744828</v>
      </c>
      <c r="D4" t="str">
        <f t="shared" ref="D4:D12" si="0">"[TestCase("&amp;A4&amp;","&amp;ROUND(B4,5)&amp;")]"</f>
        <v>[TestCase(45,0.7854)]</v>
      </c>
      <c r="G4" t="str">
        <f t="shared" ref="G4:G12" si="1">"[TestCase("&amp;ROUND(B4,7)&amp;","&amp;A4&amp;")]"</f>
        <v>[TestCase(0.7853982,45)]</v>
      </c>
    </row>
    <row r="5" spans="1:7" x14ac:dyDescent="0.3">
      <c r="A5">
        <v>90</v>
      </c>
      <c r="B5" s="5">
        <f>PI()/2</f>
        <v>1.5707963267948966</v>
      </c>
      <c r="D5" t="str">
        <f t="shared" si="0"/>
        <v>[TestCase(90,1.5708)]</v>
      </c>
      <c r="G5" t="str">
        <f t="shared" si="1"/>
        <v>[TestCase(1.5707963,90)]</v>
      </c>
    </row>
    <row r="6" spans="1:7" x14ac:dyDescent="0.3">
      <c r="A6">
        <v>135</v>
      </c>
      <c r="B6" s="5">
        <f>(3/4)*PI()</f>
        <v>2.3561944901923448</v>
      </c>
      <c r="D6" t="str">
        <f t="shared" si="0"/>
        <v>[TestCase(135,2.35619)]</v>
      </c>
      <c r="G6" t="str">
        <f t="shared" si="1"/>
        <v>[TestCase(2.3561945,135)]</v>
      </c>
    </row>
    <row r="7" spans="1:7" x14ac:dyDescent="0.3">
      <c r="A7">
        <v>180</v>
      </c>
      <c r="B7" s="5">
        <f>PI()</f>
        <v>3.1415926535897931</v>
      </c>
      <c r="D7" t="str">
        <f t="shared" si="0"/>
        <v>[TestCase(180,3.14159)]</v>
      </c>
      <c r="G7" t="str">
        <f t="shared" si="1"/>
        <v>[TestCase(3.1415927,180)]</v>
      </c>
    </row>
    <row r="8" spans="1:7" x14ac:dyDescent="0.3">
      <c r="A8">
        <v>225</v>
      </c>
      <c r="B8" s="5">
        <f>(5/4)*PI()</f>
        <v>3.9269908169872414</v>
      </c>
      <c r="D8" t="str">
        <f t="shared" si="0"/>
        <v>[TestCase(225,3.92699)]</v>
      </c>
      <c r="G8" t="str">
        <f t="shared" si="1"/>
        <v>[TestCase(3.9269908,225)]</v>
      </c>
    </row>
    <row r="9" spans="1:7" x14ac:dyDescent="0.3">
      <c r="A9">
        <v>270</v>
      </c>
      <c r="B9" s="5">
        <f>(3/2)*PI()</f>
        <v>4.7123889803846897</v>
      </c>
      <c r="D9" t="str">
        <f t="shared" si="0"/>
        <v>[TestCase(270,4.71239)]</v>
      </c>
      <c r="G9" t="str">
        <f t="shared" si="1"/>
        <v>[TestCase(4.712389,270)]</v>
      </c>
    </row>
    <row r="10" spans="1:7" x14ac:dyDescent="0.3">
      <c r="A10">
        <v>315</v>
      </c>
      <c r="B10" s="5">
        <f>(7/4)*PI()</f>
        <v>5.497787143782138</v>
      </c>
      <c r="D10" t="str">
        <f t="shared" si="0"/>
        <v>[TestCase(315,5.49779)]</v>
      </c>
      <c r="G10" t="str">
        <f t="shared" si="1"/>
        <v>[TestCase(5.4977871,315)]</v>
      </c>
    </row>
    <row r="11" spans="1:7" x14ac:dyDescent="0.3">
      <c r="A11">
        <v>30</v>
      </c>
      <c r="B11" s="5">
        <f>RADIANS(A11)</f>
        <v>0.52359877559829882</v>
      </c>
      <c r="D11" t="str">
        <f t="shared" si="0"/>
        <v>[TestCase(30,0.5236)]</v>
      </c>
      <c r="G11" t="str">
        <f t="shared" si="1"/>
        <v>[TestCase(0.5235988,30)]</v>
      </c>
    </row>
    <row r="12" spans="1:7" x14ac:dyDescent="0.3">
      <c r="A12">
        <v>60</v>
      </c>
      <c r="B12" s="5">
        <f>RADIANS(A12)</f>
        <v>1.0471975511965976</v>
      </c>
      <c r="D12" t="str">
        <f t="shared" si="0"/>
        <v>[TestCase(60,1.0472)]</v>
      </c>
      <c r="G12" t="str">
        <f t="shared" si="1"/>
        <v>[TestCase(1.0471976,60)]</v>
      </c>
    </row>
    <row r="14" spans="1:7" s="2" customFormat="1" x14ac:dyDescent="0.3">
      <c r="A14" s="2" t="s">
        <v>21</v>
      </c>
    </row>
    <row r="15" spans="1:7" x14ac:dyDescent="0.3">
      <c r="A15" s="6" t="s">
        <v>22</v>
      </c>
      <c r="B15" s="6" t="s">
        <v>23</v>
      </c>
      <c r="C15" s="6" t="s">
        <v>19</v>
      </c>
    </row>
    <row r="16" spans="1:7" x14ac:dyDescent="0.3">
      <c r="A16">
        <v>0</v>
      </c>
      <c r="B16">
        <v>0</v>
      </c>
      <c r="C16" t="e">
        <f t="shared" ref="C16:C26" si="2">ATAN(B16/A16)</f>
        <v>#DIV/0!</v>
      </c>
      <c r="D16" t="e">
        <f t="shared" ref="D16:D26" si="3">DEGREES(C16)</f>
        <v>#DIV/0!</v>
      </c>
    </row>
    <row r="17" spans="1:7" x14ac:dyDescent="0.3">
      <c r="A17">
        <v>1</v>
      </c>
      <c r="B17">
        <v>0</v>
      </c>
      <c r="C17">
        <f t="shared" si="2"/>
        <v>0</v>
      </c>
      <c r="D17">
        <f t="shared" si="3"/>
        <v>0</v>
      </c>
      <c r="E17">
        <v>0</v>
      </c>
    </row>
    <row r="18" spans="1:7" x14ac:dyDescent="0.3">
      <c r="A18">
        <v>0</v>
      </c>
      <c r="B18">
        <v>1</v>
      </c>
      <c r="C18" t="e">
        <f t="shared" si="2"/>
        <v>#DIV/0!</v>
      </c>
      <c r="D18" t="e">
        <f t="shared" si="3"/>
        <v>#DIV/0!</v>
      </c>
      <c r="E18">
        <v>90</v>
      </c>
      <c r="F18">
        <f>PI()/2</f>
        <v>1.5707963267948966</v>
      </c>
    </row>
    <row r="19" spans="1:7" x14ac:dyDescent="0.3">
      <c r="A19">
        <v>-1</v>
      </c>
      <c r="B19">
        <v>0</v>
      </c>
      <c r="C19">
        <f t="shared" si="2"/>
        <v>0</v>
      </c>
      <c r="D19">
        <f t="shared" si="3"/>
        <v>0</v>
      </c>
      <c r="E19">
        <v>180</v>
      </c>
      <c r="F19">
        <f>PI()</f>
        <v>3.1415926535897931</v>
      </c>
    </row>
    <row r="20" spans="1:7" x14ac:dyDescent="0.3">
      <c r="A20">
        <v>0</v>
      </c>
      <c r="B20">
        <v>-1</v>
      </c>
      <c r="C20" t="e">
        <f t="shared" si="2"/>
        <v>#DIV/0!</v>
      </c>
      <c r="D20" t="e">
        <f t="shared" si="3"/>
        <v>#DIV/0!</v>
      </c>
      <c r="E20">
        <v>270</v>
      </c>
      <c r="F20">
        <f>3*PI()/2</f>
        <v>4.7123889803846897</v>
      </c>
    </row>
    <row r="21" spans="1:7" x14ac:dyDescent="0.3">
      <c r="A21">
        <v>1</v>
      </c>
      <c r="B21">
        <v>1</v>
      </c>
      <c r="C21">
        <f t="shared" si="2"/>
        <v>0.78539816339744828</v>
      </c>
      <c r="D21">
        <f t="shared" si="3"/>
        <v>45</v>
      </c>
      <c r="E21" t="s">
        <v>24</v>
      </c>
    </row>
    <row r="22" spans="1:7" x14ac:dyDescent="0.3">
      <c r="A22">
        <v>-1</v>
      </c>
      <c r="B22">
        <v>1</v>
      </c>
      <c r="C22">
        <f t="shared" si="2"/>
        <v>-0.78539816339744828</v>
      </c>
      <c r="D22">
        <f t="shared" si="3"/>
        <v>-45</v>
      </c>
      <c r="E22" t="s">
        <v>25</v>
      </c>
      <c r="F22">
        <f>PI()+C22</f>
        <v>2.3561944901923448</v>
      </c>
      <c r="G22">
        <f>DEGREES(F22)</f>
        <v>135</v>
      </c>
    </row>
    <row r="23" spans="1:7" x14ac:dyDescent="0.3">
      <c r="A23">
        <v>-1</v>
      </c>
      <c r="B23">
        <v>-1</v>
      </c>
      <c r="C23">
        <f t="shared" si="2"/>
        <v>0.78539816339744828</v>
      </c>
      <c r="D23">
        <f t="shared" si="3"/>
        <v>45</v>
      </c>
      <c r="E23" t="s">
        <v>26</v>
      </c>
      <c r="F23">
        <f>PI()+C23</f>
        <v>3.9269908169872414</v>
      </c>
      <c r="G23">
        <f>DEGREES(F23)</f>
        <v>225</v>
      </c>
    </row>
    <row r="24" spans="1:7" x14ac:dyDescent="0.3">
      <c r="A24">
        <v>1</v>
      </c>
      <c r="B24">
        <v>-1</v>
      </c>
      <c r="C24">
        <f t="shared" si="2"/>
        <v>-0.78539816339744828</v>
      </c>
      <c r="D24">
        <f t="shared" si="3"/>
        <v>-45</v>
      </c>
      <c r="E24" t="s">
        <v>27</v>
      </c>
      <c r="F24">
        <f>2*PI()+C24</f>
        <v>5.497787143782138</v>
      </c>
      <c r="G24">
        <f>DEGREES(F24)</f>
        <v>315</v>
      </c>
    </row>
    <row r="25" spans="1:7" x14ac:dyDescent="0.3">
      <c r="A25">
        <v>2</v>
      </c>
      <c r="B25">
        <v>1</v>
      </c>
      <c r="C25">
        <f t="shared" si="2"/>
        <v>0.46364760900080609</v>
      </c>
      <c r="D25">
        <f t="shared" si="3"/>
        <v>26.56505117707799</v>
      </c>
    </row>
    <row r="26" spans="1:7" x14ac:dyDescent="0.3">
      <c r="A26">
        <v>1</v>
      </c>
      <c r="B26">
        <v>2</v>
      </c>
      <c r="C26">
        <f t="shared" si="2"/>
        <v>1.1071487177940904</v>
      </c>
      <c r="D26">
        <f t="shared" si="3"/>
        <v>63.43494882292201</v>
      </c>
    </row>
    <row r="28" spans="1:7" s="2" customFormat="1" x14ac:dyDescent="0.3">
      <c r="A28" s="2" t="s">
        <v>53</v>
      </c>
    </row>
    <row r="29" spans="1:7" x14ac:dyDescent="0.3">
      <c r="A29" s="6" t="s">
        <v>21</v>
      </c>
      <c r="B29" s="6" t="s">
        <v>54</v>
      </c>
      <c r="C29" s="6" t="s">
        <v>19</v>
      </c>
    </row>
    <row r="30" spans="1:7" x14ac:dyDescent="0.3">
      <c r="A30">
        <v>0</v>
      </c>
      <c r="B30">
        <f>A30/(2*PI())</f>
        <v>0</v>
      </c>
      <c r="C30">
        <f>(B30-FLOOR(B30, 1))*2*PI()</f>
        <v>0</v>
      </c>
      <c r="E30" t="str">
        <f>"[TestCase("&amp;ROUND(A30,7)&amp;","&amp;ROUND(C30,5)&amp;")]"</f>
        <v>[TestCase(0,0)]</v>
      </c>
    </row>
    <row r="31" spans="1:7" x14ac:dyDescent="0.3">
      <c r="A31">
        <f>PI()/4</f>
        <v>0.78539816339744828</v>
      </c>
      <c r="B31">
        <f>A31/(2*PI())</f>
        <v>0.125</v>
      </c>
      <c r="C31">
        <f t="shared" ref="C31:C52" si="4">(B31-FLOOR(B31, 1))*2*PI()</f>
        <v>0.78539816339744828</v>
      </c>
      <c r="E31" t="str">
        <f t="shared" ref="E31:E42" si="5">"[TestCase("&amp;ROUND(A31,7)&amp;","&amp;ROUND(C31,5)&amp;")]"</f>
        <v>[TestCase(0.7853982,0.7854)]</v>
      </c>
    </row>
    <row r="32" spans="1:7" x14ac:dyDescent="0.3">
      <c r="A32">
        <f>PI()/2</f>
        <v>1.5707963267948966</v>
      </c>
      <c r="B32">
        <f t="shared" ref="B32:B52" si="6">A32/(2*PI())</f>
        <v>0.25</v>
      </c>
      <c r="C32">
        <f t="shared" si="4"/>
        <v>1.5707963267948966</v>
      </c>
      <c r="E32" t="str">
        <f t="shared" si="5"/>
        <v>[TestCase(1.5707963,1.5708)]</v>
      </c>
    </row>
    <row r="33" spans="1:5" x14ac:dyDescent="0.3">
      <c r="A33">
        <f>(3/4)*PI()</f>
        <v>2.3561944901923448</v>
      </c>
      <c r="B33">
        <f t="shared" si="6"/>
        <v>0.375</v>
      </c>
      <c r="C33">
        <f t="shared" si="4"/>
        <v>2.3561944901923448</v>
      </c>
      <c r="E33" t="str">
        <f t="shared" ref="E33" si="7">"[TestCase("&amp;ROUND(A33,7)&amp;","&amp;ROUND(C33,5)&amp;")]"</f>
        <v>[TestCase(2.3561945,2.35619)]</v>
      </c>
    </row>
    <row r="34" spans="1:5" x14ac:dyDescent="0.3">
      <c r="A34">
        <f>PI()</f>
        <v>3.1415926535897931</v>
      </c>
      <c r="B34">
        <f t="shared" si="6"/>
        <v>0.5</v>
      </c>
      <c r="C34">
        <f t="shared" si="4"/>
        <v>3.1415926535897931</v>
      </c>
      <c r="E34" t="str">
        <f t="shared" si="5"/>
        <v>[TestCase(3.1415927,3.14159)]</v>
      </c>
    </row>
    <row r="35" spans="1:5" x14ac:dyDescent="0.3">
      <c r="A35">
        <f>(5/4)*PI()</f>
        <v>3.9269908169872414</v>
      </c>
      <c r="B35">
        <f t="shared" si="6"/>
        <v>0.625</v>
      </c>
      <c r="C35">
        <f t="shared" si="4"/>
        <v>3.9269908169872414</v>
      </c>
      <c r="E35" t="str">
        <f t="shared" ref="E35" si="8">"[TestCase("&amp;ROUND(A35,7)&amp;","&amp;ROUND(C35,5)&amp;")]"</f>
        <v>[TestCase(3.9269908,3.92699)]</v>
      </c>
    </row>
    <row r="36" spans="1:5" x14ac:dyDescent="0.3">
      <c r="A36">
        <f>(3/2)*PI()</f>
        <v>4.7123889803846897</v>
      </c>
      <c r="B36">
        <f t="shared" si="6"/>
        <v>0.75</v>
      </c>
      <c r="C36">
        <f t="shared" si="4"/>
        <v>4.7123889803846897</v>
      </c>
      <c r="E36" t="str">
        <f t="shared" si="5"/>
        <v>[TestCase(4.712389,4.71239)]</v>
      </c>
    </row>
    <row r="37" spans="1:5" x14ac:dyDescent="0.3">
      <c r="A37">
        <f>(7/4)*PI()</f>
        <v>5.497787143782138</v>
      </c>
      <c r="B37">
        <f t="shared" si="6"/>
        <v>0.875</v>
      </c>
      <c r="C37">
        <f t="shared" si="4"/>
        <v>5.497787143782138</v>
      </c>
      <c r="E37" t="str">
        <f t="shared" si="5"/>
        <v>[TestCase(5.4977871,5.49779)]</v>
      </c>
    </row>
    <row r="38" spans="1:5" x14ac:dyDescent="0.3">
      <c r="A38">
        <f>2*PI()</f>
        <v>6.2831853071795862</v>
      </c>
      <c r="B38">
        <f>A38/(2*PI())</f>
        <v>1</v>
      </c>
      <c r="C38">
        <f t="shared" si="4"/>
        <v>0</v>
      </c>
      <c r="E38" t="str">
        <f t="shared" si="5"/>
        <v>[TestCase(6.2831853,0)]</v>
      </c>
    </row>
    <row r="39" spans="1:5" x14ac:dyDescent="0.3">
      <c r="A39">
        <f>3.5*PI()</f>
        <v>10.995574287564276</v>
      </c>
      <c r="B39">
        <f>A39/(2*PI())</f>
        <v>1.75</v>
      </c>
      <c r="C39">
        <f t="shared" si="4"/>
        <v>4.7123889803846897</v>
      </c>
      <c r="E39" t="str">
        <f t="shared" si="5"/>
        <v>[TestCase(10.9955743,4.71239)]</v>
      </c>
    </row>
    <row r="40" spans="1:5" x14ac:dyDescent="0.3">
      <c r="A40" s="2">
        <f>4*PI()</f>
        <v>12.566370614359172</v>
      </c>
      <c r="B40">
        <f t="shared" si="6"/>
        <v>2</v>
      </c>
      <c r="C40">
        <f t="shared" si="4"/>
        <v>0</v>
      </c>
      <c r="E40" t="str">
        <f t="shared" si="5"/>
        <v>[TestCase(12.5663706,0)]</v>
      </c>
    </row>
    <row r="41" spans="1:5" x14ac:dyDescent="0.3">
      <c r="A41">
        <f>10*PI()</f>
        <v>31.415926535897931</v>
      </c>
      <c r="B41">
        <f t="shared" si="6"/>
        <v>5</v>
      </c>
      <c r="C41">
        <f t="shared" si="4"/>
        <v>0</v>
      </c>
      <c r="E41" t="str">
        <f t="shared" si="5"/>
        <v>[TestCase(31.4159265,0)]</v>
      </c>
    </row>
    <row r="42" spans="1:5" x14ac:dyDescent="0.3">
      <c r="A42">
        <f>-A31</f>
        <v>-0.78539816339744828</v>
      </c>
      <c r="B42">
        <f t="shared" si="6"/>
        <v>-0.125</v>
      </c>
      <c r="C42">
        <f t="shared" si="4"/>
        <v>5.497787143782138</v>
      </c>
      <c r="E42" t="str">
        <f t="shared" si="5"/>
        <v>[TestCase(-0.7853982,5.49779)]</v>
      </c>
    </row>
    <row r="43" spans="1:5" x14ac:dyDescent="0.3">
      <c r="A43">
        <f t="shared" ref="A43:A52" si="9">-A32</f>
        <v>-1.5707963267948966</v>
      </c>
      <c r="B43">
        <f t="shared" si="6"/>
        <v>-0.25</v>
      </c>
      <c r="C43">
        <f t="shared" si="4"/>
        <v>4.7123889803846897</v>
      </c>
      <c r="E43" t="str">
        <f t="shared" ref="E43:E52" si="10">"[TestCase("&amp;ROUND(A43,7)&amp;","&amp;ROUND(C43,5)&amp;")]"</f>
        <v>[TestCase(-1.5707963,4.71239)]</v>
      </c>
    </row>
    <row r="44" spans="1:5" x14ac:dyDescent="0.3">
      <c r="A44">
        <f t="shared" si="9"/>
        <v>-2.3561944901923448</v>
      </c>
      <c r="B44">
        <f t="shared" si="6"/>
        <v>-0.375</v>
      </c>
      <c r="C44">
        <f t="shared" si="4"/>
        <v>3.9269908169872414</v>
      </c>
      <c r="E44" t="str">
        <f t="shared" si="10"/>
        <v>[TestCase(-2.3561945,3.92699)]</v>
      </c>
    </row>
    <row r="45" spans="1:5" x14ac:dyDescent="0.3">
      <c r="A45">
        <f t="shared" si="9"/>
        <v>-3.1415926535897931</v>
      </c>
      <c r="B45">
        <f t="shared" si="6"/>
        <v>-0.5</v>
      </c>
      <c r="C45">
        <f t="shared" si="4"/>
        <v>3.1415926535897931</v>
      </c>
      <c r="E45" t="str">
        <f t="shared" si="10"/>
        <v>[TestCase(-3.1415927,3.14159)]</v>
      </c>
    </row>
    <row r="46" spans="1:5" x14ac:dyDescent="0.3">
      <c r="A46">
        <f t="shared" si="9"/>
        <v>-3.9269908169872414</v>
      </c>
      <c r="B46">
        <f t="shared" si="6"/>
        <v>-0.625</v>
      </c>
      <c r="C46">
        <f t="shared" si="4"/>
        <v>2.3561944901923448</v>
      </c>
      <c r="E46" t="str">
        <f t="shared" si="10"/>
        <v>[TestCase(-3.9269908,2.35619)]</v>
      </c>
    </row>
    <row r="47" spans="1:5" x14ac:dyDescent="0.3">
      <c r="A47">
        <f t="shared" si="9"/>
        <v>-4.7123889803846897</v>
      </c>
      <c r="B47">
        <f t="shared" si="6"/>
        <v>-0.75</v>
      </c>
      <c r="C47">
        <f t="shared" si="4"/>
        <v>1.5707963267948966</v>
      </c>
      <c r="E47" t="str">
        <f t="shared" si="10"/>
        <v>[TestCase(-4.712389,1.5708)]</v>
      </c>
    </row>
    <row r="48" spans="1:5" x14ac:dyDescent="0.3">
      <c r="A48">
        <f t="shared" si="9"/>
        <v>-5.497787143782138</v>
      </c>
      <c r="B48">
        <f t="shared" si="6"/>
        <v>-0.875</v>
      </c>
      <c r="C48">
        <f t="shared" si="4"/>
        <v>0.78539816339744828</v>
      </c>
      <c r="E48" t="str">
        <f t="shared" si="10"/>
        <v>[TestCase(-5.4977871,0.7854)]</v>
      </c>
    </row>
    <row r="49" spans="1:5" x14ac:dyDescent="0.3">
      <c r="A49">
        <f t="shared" si="9"/>
        <v>-6.2831853071795862</v>
      </c>
      <c r="B49">
        <f t="shared" si="6"/>
        <v>-1</v>
      </c>
      <c r="C49">
        <f t="shared" si="4"/>
        <v>0</v>
      </c>
      <c r="E49" t="str">
        <f t="shared" si="10"/>
        <v>[TestCase(-6.2831853,0)]</v>
      </c>
    </row>
    <row r="50" spans="1:5" x14ac:dyDescent="0.3">
      <c r="A50">
        <f t="shared" si="9"/>
        <v>-10.995574287564276</v>
      </c>
      <c r="B50">
        <f t="shared" si="6"/>
        <v>-1.75</v>
      </c>
      <c r="C50">
        <f t="shared" si="4"/>
        <v>1.5707963267948966</v>
      </c>
      <c r="E50" t="str">
        <f t="shared" si="10"/>
        <v>[TestCase(-10.9955743,1.5708)]</v>
      </c>
    </row>
    <row r="51" spans="1:5" x14ac:dyDescent="0.3">
      <c r="A51">
        <f t="shared" si="9"/>
        <v>-12.566370614359172</v>
      </c>
      <c r="B51">
        <f t="shared" si="6"/>
        <v>-2</v>
      </c>
      <c r="C51">
        <f t="shared" si="4"/>
        <v>0</v>
      </c>
      <c r="E51" t="str">
        <f t="shared" si="10"/>
        <v>[TestCase(-12.5663706,0)]</v>
      </c>
    </row>
    <row r="52" spans="1:5" x14ac:dyDescent="0.3">
      <c r="A52">
        <f t="shared" si="9"/>
        <v>-31.415926535897931</v>
      </c>
      <c r="B52">
        <f t="shared" si="6"/>
        <v>-5</v>
      </c>
      <c r="C52">
        <f t="shared" si="4"/>
        <v>0</v>
      </c>
      <c r="E52" t="str">
        <f t="shared" si="10"/>
        <v>[TestCase(-31.4159265,0)]</v>
      </c>
    </row>
    <row r="54" spans="1:5" s="2" customFormat="1" x14ac:dyDescent="0.3">
      <c r="A54" s="2" t="s">
        <v>55</v>
      </c>
    </row>
    <row r="55" spans="1:5" x14ac:dyDescent="0.3">
      <c r="A55" s="6" t="s">
        <v>21</v>
      </c>
      <c r="B55" s="6" t="s">
        <v>54</v>
      </c>
      <c r="C55" s="6" t="s">
        <v>19</v>
      </c>
    </row>
    <row r="56" spans="1:5" x14ac:dyDescent="0.3">
      <c r="A56">
        <f>A30</f>
        <v>0</v>
      </c>
      <c r="B56">
        <f>B30</f>
        <v>0</v>
      </c>
      <c r="C56">
        <f>IF(ABS(C30) &gt; PI(), -SIGN(C30)*(2*PI()-ABS(C30)),C30)</f>
        <v>0</v>
      </c>
      <c r="E56" t="str">
        <f>"[TestCase("&amp;ROUND(A56,6)&amp;","&amp;ROUND(C56,5)&amp;")]"</f>
        <v>[TestCase(0,0)]</v>
      </c>
    </row>
    <row r="57" spans="1:5" x14ac:dyDescent="0.3">
      <c r="A57">
        <f t="shared" ref="A57:B57" si="11">A31</f>
        <v>0.78539816339744828</v>
      </c>
      <c r="B57">
        <f t="shared" si="11"/>
        <v>0.125</v>
      </c>
      <c r="C57">
        <f t="shared" ref="C57:C78" si="12">IF(ABS(C31) &gt; PI(), -SIGN(C31)*(2*PI()-ABS(C31)),C31)</f>
        <v>0.78539816339744828</v>
      </c>
      <c r="E57" t="str">
        <f t="shared" ref="E57:E78" si="13">"[TestCase("&amp;ROUND(A57,6)&amp;","&amp;ROUND(C57,5)&amp;")]"</f>
        <v>[TestCase(0.785398,0.7854)]</v>
      </c>
    </row>
    <row r="58" spans="1:5" x14ac:dyDescent="0.3">
      <c r="A58">
        <f t="shared" ref="A58:B58" si="14">A32</f>
        <v>1.5707963267948966</v>
      </c>
      <c r="B58">
        <f t="shared" si="14"/>
        <v>0.25</v>
      </c>
      <c r="C58">
        <f t="shared" si="12"/>
        <v>1.5707963267948966</v>
      </c>
      <c r="E58" t="str">
        <f t="shared" si="13"/>
        <v>[TestCase(1.570796,1.5708)]</v>
      </c>
    </row>
    <row r="59" spans="1:5" x14ac:dyDescent="0.3">
      <c r="A59">
        <f t="shared" ref="A59:B59" si="15">A33</f>
        <v>2.3561944901923448</v>
      </c>
      <c r="B59">
        <f t="shared" si="15"/>
        <v>0.375</v>
      </c>
      <c r="C59">
        <f t="shared" si="12"/>
        <v>2.3561944901923448</v>
      </c>
      <c r="E59" t="str">
        <f t="shared" si="13"/>
        <v>[TestCase(2.356194,2.35619)]</v>
      </c>
    </row>
    <row r="60" spans="1:5" x14ac:dyDescent="0.3">
      <c r="A60" s="22">
        <f t="shared" ref="A60:B60" si="16">A34</f>
        <v>3.1415926535897931</v>
      </c>
      <c r="B60">
        <f t="shared" si="16"/>
        <v>0.5</v>
      </c>
      <c r="C60">
        <f t="shared" si="12"/>
        <v>3.1415926535897931</v>
      </c>
      <c r="E60" t="str">
        <f t="shared" si="13"/>
        <v>[TestCase(3.141593,3.14159)]</v>
      </c>
    </row>
    <row r="61" spans="1:5" x14ac:dyDescent="0.3">
      <c r="A61">
        <f t="shared" ref="A61:B61" si="17">A35</f>
        <v>3.9269908169872414</v>
      </c>
      <c r="B61">
        <f t="shared" si="17"/>
        <v>0.625</v>
      </c>
      <c r="C61">
        <f t="shared" si="12"/>
        <v>-2.3561944901923448</v>
      </c>
      <c r="E61" t="str">
        <f t="shared" si="13"/>
        <v>[TestCase(3.926991,-2.35619)]</v>
      </c>
    </row>
    <row r="62" spans="1:5" x14ac:dyDescent="0.3">
      <c r="A62">
        <f t="shared" ref="A62:B62" si="18">A36</f>
        <v>4.7123889803846897</v>
      </c>
      <c r="B62">
        <f t="shared" si="18"/>
        <v>0.75</v>
      </c>
      <c r="C62">
        <f t="shared" si="12"/>
        <v>-1.5707963267948966</v>
      </c>
      <c r="E62" t="str">
        <f t="shared" si="13"/>
        <v>[TestCase(4.712389,-1.5708)]</v>
      </c>
    </row>
    <row r="63" spans="1:5" x14ac:dyDescent="0.3">
      <c r="A63">
        <f t="shared" ref="A63:B63" si="19">A37</f>
        <v>5.497787143782138</v>
      </c>
      <c r="B63">
        <f t="shared" si="19"/>
        <v>0.875</v>
      </c>
      <c r="C63">
        <f t="shared" si="12"/>
        <v>-0.78539816339744828</v>
      </c>
      <c r="E63" t="str">
        <f t="shared" si="13"/>
        <v>[TestCase(5.497787,-0.7854)]</v>
      </c>
    </row>
    <row r="64" spans="1:5" x14ac:dyDescent="0.3">
      <c r="A64">
        <f t="shared" ref="A64:B64" si="20">A38</f>
        <v>6.2831853071795862</v>
      </c>
      <c r="B64">
        <f t="shared" si="20"/>
        <v>1</v>
      </c>
      <c r="C64">
        <f t="shared" si="12"/>
        <v>0</v>
      </c>
      <c r="E64" t="str">
        <f t="shared" si="13"/>
        <v>[TestCase(6.283185,0)]</v>
      </c>
    </row>
    <row r="65" spans="1:5" x14ac:dyDescent="0.3">
      <c r="A65">
        <f t="shared" ref="A65:B65" si="21">A39</f>
        <v>10.995574287564276</v>
      </c>
      <c r="B65">
        <f t="shared" si="21"/>
        <v>1.75</v>
      </c>
      <c r="C65">
        <f t="shared" si="12"/>
        <v>-1.5707963267948966</v>
      </c>
      <c r="E65" t="str">
        <f t="shared" si="13"/>
        <v>[TestCase(10.995574,-1.5708)]</v>
      </c>
    </row>
    <row r="66" spans="1:5" x14ac:dyDescent="0.3">
      <c r="A66">
        <f t="shared" ref="A66:B66" si="22">A40</f>
        <v>12.566370614359172</v>
      </c>
      <c r="B66">
        <f t="shared" si="22"/>
        <v>2</v>
      </c>
      <c r="C66">
        <f t="shared" si="12"/>
        <v>0</v>
      </c>
      <c r="E66" t="str">
        <f t="shared" si="13"/>
        <v>[TestCase(12.566371,0)]</v>
      </c>
    </row>
    <row r="67" spans="1:5" x14ac:dyDescent="0.3">
      <c r="A67">
        <f t="shared" ref="A67:B67" si="23">A41</f>
        <v>31.415926535897931</v>
      </c>
      <c r="B67">
        <f t="shared" si="23"/>
        <v>5</v>
      </c>
      <c r="C67">
        <f t="shared" si="12"/>
        <v>0</v>
      </c>
      <c r="E67" t="str">
        <f t="shared" si="13"/>
        <v>[TestCase(31.415927,0)]</v>
      </c>
    </row>
    <row r="68" spans="1:5" x14ac:dyDescent="0.3">
      <c r="A68">
        <f t="shared" ref="A68:B68" si="24">A42</f>
        <v>-0.78539816339744828</v>
      </c>
      <c r="B68">
        <f t="shared" si="24"/>
        <v>-0.125</v>
      </c>
      <c r="C68">
        <f t="shared" si="12"/>
        <v>-0.78539816339744828</v>
      </c>
      <c r="E68" t="str">
        <f t="shared" si="13"/>
        <v>[TestCase(-0.785398,-0.7854)]</v>
      </c>
    </row>
    <row r="69" spans="1:5" x14ac:dyDescent="0.3">
      <c r="A69">
        <f t="shared" ref="A69:B69" si="25">A43</f>
        <v>-1.5707963267948966</v>
      </c>
      <c r="B69">
        <f t="shared" si="25"/>
        <v>-0.25</v>
      </c>
      <c r="C69">
        <f t="shared" si="12"/>
        <v>-1.5707963267948966</v>
      </c>
      <c r="E69" t="str">
        <f t="shared" si="13"/>
        <v>[TestCase(-1.570796,-1.5708)]</v>
      </c>
    </row>
    <row r="70" spans="1:5" x14ac:dyDescent="0.3">
      <c r="A70">
        <f t="shared" ref="A70:B70" si="26">A44</f>
        <v>-2.3561944901923448</v>
      </c>
      <c r="B70">
        <f t="shared" si="26"/>
        <v>-0.375</v>
      </c>
      <c r="C70">
        <f t="shared" si="12"/>
        <v>-2.3561944901923448</v>
      </c>
      <c r="E70" t="str">
        <f t="shared" si="13"/>
        <v>[TestCase(-2.356194,-2.35619)]</v>
      </c>
    </row>
    <row r="71" spans="1:5" x14ac:dyDescent="0.3">
      <c r="A71">
        <f t="shared" ref="A71:B71" si="27">A45</f>
        <v>-3.1415926535897931</v>
      </c>
      <c r="B71">
        <f t="shared" si="27"/>
        <v>-0.5</v>
      </c>
      <c r="C71">
        <f t="shared" si="12"/>
        <v>3.1415926535897931</v>
      </c>
      <c r="E71" t="str">
        <f t="shared" si="13"/>
        <v>[TestCase(-3.141593,3.14159)]</v>
      </c>
    </row>
    <row r="72" spans="1:5" x14ac:dyDescent="0.3">
      <c r="A72">
        <f t="shared" ref="A72:B72" si="28">A46</f>
        <v>-3.9269908169872414</v>
      </c>
      <c r="B72">
        <f t="shared" si="28"/>
        <v>-0.625</v>
      </c>
      <c r="C72">
        <f t="shared" si="12"/>
        <v>2.3561944901923448</v>
      </c>
      <c r="E72" t="str">
        <f t="shared" si="13"/>
        <v>[TestCase(-3.926991,2.35619)]</v>
      </c>
    </row>
    <row r="73" spans="1:5" x14ac:dyDescent="0.3">
      <c r="A73">
        <f t="shared" ref="A73:B73" si="29">A47</f>
        <v>-4.7123889803846897</v>
      </c>
      <c r="B73">
        <f t="shared" si="29"/>
        <v>-0.75</v>
      </c>
      <c r="C73">
        <f t="shared" si="12"/>
        <v>1.5707963267948966</v>
      </c>
      <c r="E73" t="str">
        <f t="shared" si="13"/>
        <v>[TestCase(-4.712389,1.5708)]</v>
      </c>
    </row>
    <row r="74" spans="1:5" x14ac:dyDescent="0.3">
      <c r="A74">
        <f t="shared" ref="A74:B74" si="30">A48</f>
        <v>-5.497787143782138</v>
      </c>
      <c r="B74">
        <f t="shared" si="30"/>
        <v>-0.875</v>
      </c>
      <c r="C74">
        <f t="shared" si="12"/>
        <v>0.78539816339744828</v>
      </c>
      <c r="E74" t="str">
        <f t="shared" si="13"/>
        <v>[TestCase(-5.497787,0.7854)]</v>
      </c>
    </row>
    <row r="75" spans="1:5" x14ac:dyDescent="0.3">
      <c r="A75">
        <f t="shared" ref="A75:B75" si="31">A49</f>
        <v>-6.2831853071795862</v>
      </c>
      <c r="B75">
        <f t="shared" si="31"/>
        <v>-1</v>
      </c>
      <c r="C75">
        <f t="shared" si="12"/>
        <v>0</v>
      </c>
      <c r="E75" t="str">
        <f t="shared" si="13"/>
        <v>[TestCase(-6.283185,0)]</v>
      </c>
    </row>
    <row r="76" spans="1:5" x14ac:dyDescent="0.3">
      <c r="A76">
        <f t="shared" ref="A76:B76" si="32">A50</f>
        <v>-10.995574287564276</v>
      </c>
      <c r="B76">
        <f t="shared" si="32"/>
        <v>-1.75</v>
      </c>
      <c r="C76">
        <f t="shared" si="12"/>
        <v>1.5707963267948966</v>
      </c>
      <c r="E76" t="str">
        <f t="shared" si="13"/>
        <v>[TestCase(-10.995574,1.5708)]</v>
      </c>
    </row>
    <row r="77" spans="1:5" x14ac:dyDescent="0.3">
      <c r="A77">
        <f t="shared" ref="A77:B77" si="33">A51</f>
        <v>-12.566370614359172</v>
      </c>
      <c r="B77">
        <f t="shared" si="33"/>
        <v>-2</v>
      </c>
      <c r="C77">
        <f t="shared" si="12"/>
        <v>0</v>
      </c>
      <c r="E77" t="str">
        <f t="shared" si="13"/>
        <v>[TestCase(-12.566371,0)]</v>
      </c>
    </row>
    <row r="78" spans="1:5" x14ac:dyDescent="0.3">
      <c r="A78">
        <f t="shared" ref="A78:B78" si="34">A52</f>
        <v>-31.415926535897931</v>
      </c>
      <c r="B78">
        <f t="shared" si="34"/>
        <v>-5</v>
      </c>
      <c r="C78">
        <f t="shared" si="12"/>
        <v>0</v>
      </c>
      <c r="E78" t="str">
        <f t="shared" si="13"/>
        <v>[TestCase(-31.415927,0)]</v>
      </c>
    </row>
    <row r="80" spans="1:5" s="2" customFormat="1" x14ac:dyDescent="0.3">
      <c r="A80" s="2" t="s">
        <v>138</v>
      </c>
    </row>
    <row r="81" spans="1:7" x14ac:dyDescent="0.3">
      <c r="A81" s="6" t="s">
        <v>139</v>
      </c>
      <c r="B81" s="6" t="s">
        <v>9</v>
      </c>
      <c r="C81" s="6" t="s">
        <v>10</v>
      </c>
    </row>
    <row r="82" spans="1:7" x14ac:dyDescent="0.3">
      <c r="A82">
        <v>0</v>
      </c>
      <c r="B82">
        <f>COS(A82)</f>
        <v>1</v>
      </c>
      <c r="C82">
        <f>SIN(A82)</f>
        <v>0</v>
      </c>
      <c r="E82" t="str">
        <f>"[TestCase("&amp;ROUND(A82,6)&amp;","&amp;ROUND(B82,6)&amp;","&amp;ROUND(C82,6)&amp;")]"</f>
        <v>[TestCase(0,1,0)]</v>
      </c>
    </row>
    <row r="83" spans="1:7" x14ac:dyDescent="0.3">
      <c r="A83">
        <f>PI()/4</f>
        <v>0.78539816339744828</v>
      </c>
      <c r="B83">
        <f t="shared" ref="B83:B90" si="35">COS(A83)</f>
        <v>0.70710678118654757</v>
      </c>
      <c r="C83">
        <f t="shared" ref="C83:C90" si="36">SIN(A83)</f>
        <v>0.70710678118654746</v>
      </c>
      <c r="E83" t="str">
        <f t="shared" ref="E83:E90" si="37">"[TestCase("&amp;ROUND(A83,6)&amp;","&amp;ROUND(B83,6)&amp;","&amp;ROUND(C83,6)&amp;")]"</f>
        <v>[TestCase(0.785398,0.707107,0.707107)]</v>
      </c>
    </row>
    <row r="84" spans="1:7" x14ac:dyDescent="0.3">
      <c r="A84">
        <f>PI()/2</f>
        <v>1.5707963267948966</v>
      </c>
      <c r="B84">
        <f t="shared" si="35"/>
        <v>6.1257422745431001E-17</v>
      </c>
      <c r="C84">
        <f t="shared" si="36"/>
        <v>1</v>
      </c>
      <c r="E84" t="str">
        <f t="shared" si="37"/>
        <v>[TestCase(1.570796,0,1)]</v>
      </c>
    </row>
    <row r="85" spans="1:7" x14ac:dyDescent="0.3">
      <c r="A85">
        <f>(3/4)*PI()</f>
        <v>2.3561944901923448</v>
      </c>
      <c r="B85">
        <f t="shared" si="35"/>
        <v>-0.70710678118654746</v>
      </c>
      <c r="C85">
        <f t="shared" si="36"/>
        <v>0.70710678118654757</v>
      </c>
      <c r="E85" t="str">
        <f t="shared" si="37"/>
        <v>[TestCase(2.356194,-0.707107,0.707107)]</v>
      </c>
    </row>
    <row r="86" spans="1:7" x14ac:dyDescent="0.3">
      <c r="A86">
        <f>PI()</f>
        <v>3.1415926535897931</v>
      </c>
      <c r="B86">
        <f t="shared" si="35"/>
        <v>-1</v>
      </c>
      <c r="C86">
        <f t="shared" si="36"/>
        <v>1.22514845490862E-16</v>
      </c>
      <c r="E86" t="str">
        <f t="shared" si="37"/>
        <v>[TestCase(3.141593,-1,0)]</v>
      </c>
    </row>
    <row r="87" spans="1:7" x14ac:dyDescent="0.3">
      <c r="A87">
        <f>(5/4)*PI()</f>
        <v>3.9269908169872414</v>
      </c>
      <c r="B87">
        <f t="shared" si="35"/>
        <v>-0.70710678118654768</v>
      </c>
      <c r="C87">
        <f t="shared" si="36"/>
        <v>-0.70710678118654746</v>
      </c>
      <c r="E87" t="str">
        <f t="shared" si="37"/>
        <v>[TestCase(3.926991,-0.707107,-0.707107)]</v>
      </c>
    </row>
    <row r="88" spans="1:7" x14ac:dyDescent="0.3">
      <c r="A88">
        <f>(3/2)*PI()</f>
        <v>4.7123889803846897</v>
      </c>
      <c r="B88">
        <f t="shared" si="35"/>
        <v>-1.83772268236293E-16</v>
      </c>
      <c r="C88">
        <f t="shared" si="36"/>
        <v>-1</v>
      </c>
      <c r="E88" t="str">
        <f t="shared" si="37"/>
        <v>[TestCase(4.712389,0,-1)]</v>
      </c>
    </row>
    <row r="89" spans="1:7" x14ac:dyDescent="0.3">
      <c r="A89">
        <f>(7/4)*PI()</f>
        <v>5.497787143782138</v>
      </c>
      <c r="B89">
        <f t="shared" si="35"/>
        <v>0.70710678118654735</v>
      </c>
      <c r="C89">
        <f t="shared" si="36"/>
        <v>-0.70710678118654768</v>
      </c>
      <c r="E89" t="str">
        <f t="shared" si="37"/>
        <v>[TestCase(5.497787,0.707107,-0.707107)]</v>
      </c>
    </row>
    <row r="90" spans="1:7" x14ac:dyDescent="0.3">
      <c r="A90">
        <f>2*PI()</f>
        <v>6.2831853071795862</v>
      </c>
      <c r="B90">
        <f t="shared" si="35"/>
        <v>1</v>
      </c>
      <c r="C90">
        <f t="shared" si="36"/>
        <v>-2.45029690981724E-16</v>
      </c>
      <c r="E90" t="str">
        <f t="shared" si="37"/>
        <v>[TestCase(6.283185,1,0)]</v>
      </c>
    </row>
    <row r="92" spans="1:7" s="2" customFormat="1" x14ac:dyDescent="0.3">
      <c r="A92" s="2" t="s">
        <v>140</v>
      </c>
    </row>
    <row r="93" spans="1:7" x14ac:dyDescent="0.3">
      <c r="A93" s="6" t="s">
        <v>141</v>
      </c>
      <c r="B93" s="6" t="s">
        <v>142</v>
      </c>
      <c r="C93" s="6" t="s">
        <v>143</v>
      </c>
      <c r="D93" s="6" t="s">
        <v>144</v>
      </c>
      <c r="E93" s="6" t="s">
        <v>145</v>
      </c>
    </row>
    <row r="94" spans="1:7" x14ac:dyDescent="0.3">
      <c r="A94">
        <v>1</v>
      </c>
      <c r="B94">
        <v>1</v>
      </c>
      <c r="C94">
        <v>0</v>
      </c>
      <c r="D94">
        <f>A94*COS(C94)-B94*SIN(C94)</f>
        <v>1</v>
      </c>
      <c r="E94">
        <f>A94*SIN(C94)+B94*COS(C94)</f>
        <v>1</v>
      </c>
      <c r="G94" t="str">
        <f>"[TestCase("&amp;A94&amp;","&amp;B94&amp;","&amp;ROUND(C94,6)&amp;","&amp;ROUND(D94,6)&amp;","&amp;ROUND(E94,6)&amp;")]"</f>
        <v>[TestCase(1,1,0,1,1)]</v>
      </c>
    </row>
    <row r="95" spans="1:7" x14ac:dyDescent="0.3">
      <c r="A95">
        <v>1</v>
      </c>
      <c r="B95">
        <v>1</v>
      </c>
      <c r="C95">
        <f>PI()/4</f>
        <v>0.78539816339744828</v>
      </c>
      <c r="D95">
        <f t="shared" ref="D95:D102" si="38">A95*COS(C95)-B95*SIN(C95)</f>
        <v>0</v>
      </c>
      <c r="E95">
        <f t="shared" ref="E95:E102" si="39">A95*SIN(C95)+B95*COS(C95)</f>
        <v>1.4142135623730949</v>
      </c>
      <c r="G95" t="str">
        <f t="shared" ref="G95:G102" si="40">"[TestCase("&amp;A95&amp;","&amp;B95&amp;","&amp;ROUND(C95,6)&amp;","&amp;ROUND(D95,6)&amp;","&amp;ROUND(E95,6)&amp;")]"</f>
        <v>[TestCase(1,1,0.785398,0,1.414214)]</v>
      </c>
    </row>
    <row r="96" spans="1:7" x14ac:dyDescent="0.3">
      <c r="A96">
        <v>1</v>
      </c>
      <c r="B96">
        <v>1</v>
      </c>
      <c r="C96">
        <f>PI()/2</f>
        <v>1.5707963267948966</v>
      </c>
      <c r="D96">
        <f t="shared" si="38"/>
        <v>-0.99999999999999989</v>
      </c>
      <c r="E96">
        <f t="shared" si="39"/>
        <v>1</v>
      </c>
      <c r="G96" t="str">
        <f t="shared" si="40"/>
        <v>[TestCase(1,1,1.570796,-1,1)]</v>
      </c>
    </row>
    <row r="97" spans="1:7" x14ac:dyDescent="0.3">
      <c r="A97">
        <v>1</v>
      </c>
      <c r="B97">
        <v>1</v>
      </c>
      <c r="C97">
        <f>(3/4)*PI()</f>
        <v>2.3561944901923448</v>
      </c>
      <c r="D97">
        <f t="shared" si="38"/>
        <v>-1.4142135623730949</v>
      </c>
      <c r="E97">
        <f t="shared" si="39"/>
        <v>0</v>
      </c>
      <c r="G97" t="str">
        <f t="shared" si="40"/>
        <v>[TestCase(1,1,2.356194,-1.414214,0)]</v>
      </c>
    </row>
    <row r="98" spans="1:7" x14ac:dyDescent="0.3">
      <c r="A98">
        <v>1</v>
      </c>
      <c r="B98">
        <v>1</v>
      </c>
      <c r="C98">
        <f>PI()</f>
        <v>3.1415926535897931</v>
      </c>
      <c r="D98">
        <f t="shared" si="38"/>
        <v>-1.0000000000000002</v>
      </c>
      <c r="E98">
        <f t="shared" si="39"/>
        <v>-0.99999999999999989</v>
      </c>
      <c r="G98" t="str">
        <f t="shared" si="40"/>
        <v>[TestCase(1,1,3.141593,-1,-1)]</v>
      </c>
    </row>
    <row r="99" spans="1:7" x14ac:dyDescent="0.3">
      <c r="A99">
        <v>1</v>
      </c>
      <c r="B99">
        <v>1</v>
      </c>
      <c r="C99">
        <f>(5/4)*PI()</f>
        <v>3.9269908169872414</v>
      </c>
      <c r="D99">
        <f t="shared" si="38"/>
        <v>0</v>
      </c>
      <c r="E99">
        <f t="shared" si="39"/>
        <v>-1.4142135623730951</v>
      </c>
      <c r="G99" t="str">
        <f t="shared" si="40"/>
        <v>[TestCase(1,1,3.926991,0,-1.414214)]</v>
      </c>
    </row>
    <row r="100" spans="1:7" x14ac:dyDescent="0.3">
      <c r="A100">
        <v>1</v>
      </c>
      <c r="B100">
        <v>1</v>
      </c>
      <c r="C100">
        <f>(3/2)*PI()</f>
        <v>4.7123889803846897</v>
      </c>
      <c r="D100">
        <f t="shared" si="38"/>
        <v>0.99999999999999978</v>
      </c>
      <c r="E100">
        <f t="shared" si="39"/>
        <v>-1.0000000000000002</v>
      </c>
      <c r="G100" t="str">
        <f t="shared" si="40"/>
        <v>[TestCase(1,1,4.712389,1,-1)]</v>
      </c>
    </row>
    <row r="101" spans="1:7" x14ac:dyDescent="0.3">
      <c r="A101">
        <v>1</v>
      </c>
      <c r="B101">
        <v>1</v>
      </c>
      <c r="C101">
        <f>(7/4)*PI()</f>
        <v>5.497787143782138</v>
      </c>
      <c r="D101">
        <f t="shared" si="38"/>
        <v>1.4142135623730949</v>
      </c>
      <c r="E101">
        <f t="shared" si="39"/>
        <v>0</v>
      </c>
      <c r="G101" t="str">
        <f t="shared" si="40"/>
        <v>[TestCase(1,1,5.497787,1.414214,0)]</v>
      </c>
    </row>
    <row r="102" spans="1:7" x14ac:dyDescent="0.3">
      <c r="A102">
        <v>1</v>
      </c>
      <c r="B102">
        <v>1</v>
      </c>
      <c r="C102">
        <f>2*PI()</f>
        <v>6.2831853071795862</v>
      </c>
      <c r="D102">
        <f t="shared" si="38"/>
        <v>1.0000000000000002</v>
      </c>
      <c r="E102">
        <f t="shared" si="39"/>
        <v>0.99999999999999978</v>
      </c>
      <c r="G102" t="str">
        <f t="shared" si="40"/>
        <v>[TestCase(1,1,6.283185,1,1)]</v>
      </c>
    </row>
    <row r="104" spans="1:7" s="2" customFormat="1" x14ac:dyDescent="0.3">
      <c r="A104" s="2" t="s">
        <v>6</v>
      </c>
    </row>
    <row r="105" spans="1:7" x14ac:dyDescent="0.3">
      <c r="A105" s="6" t="s">
        <v>146</v>
      </c>
      <c r="B105" s="6" t="s">
        <v>147</v>
      </c>
      <c r="C105" s="6" t="s">
        <v>139</v>
      </c>
    </row>
    <row r="106" spans="1:7" x14ac:dyDescent="0.3">
      <c r="A106">
        <f>PI()/4</f>
        <v>0.78539816339744828</v>
      </c>
      <c r="B106">
        <f>PI()/2</f>
        <v>1.5707963267948966</v>
      </c>
      <c r="C106">
        <f>A106-B106</f>
        <v>-0.78539816339744828</v>
      </c>
    </row>
    <row r="107" spans="1:7" x14ac:dyDescent="0.3">
      <c r="A107">
        <f>-PI()/4</f>
        <v>-0.78539816339744828</v>
      </c>
      <c r="B107">
        <f t="shared" ref="B107" si="41">PI()/2</f>
        <v>1.5707963267948966</v>
      </c>
      <c r="C107">
        <f t="shared" ref="C107:C113" si="42">A107-B107</f>
        <v>-2.3561944901923448</v>
      </c>
    </row>
    <row r="108" spans="1:7" x14ac:dyDescent="0.3">
      <c r="A108">
        <f t="shared" ref="A108:B111" si="43">PI()/4</f>
        <v>0.78539816339744828</v>
      </c>
      <c r="B108">
        <f>-PI()/2</f>
        <v>-1.5707963267948966</v>
      </c>
      <c r="C108">
        <f t="shared" si="42"/>
        <v>2.3561944901923448</v>
      </c>
    </row>
    <row r="109" spans="1:7" x14ac:dyDescent="0.3">
      <c r="A109">
        <f>-PI()/4</f>
        <v>-0.78539816339744828</v>
      </c>
      <c r="B109">
        <f>-PI()/2</f>
        <v>-1.5707963267948966</v>
      </c>
      <c r="C109">
        <f t="shared" si="42"/>
        <v>0.78539816339744828</v>
      </c>
    </row>
    <row r="110" spans="1:7" x14ac:dyDescent="0.3">
      <c r="A110">
        <f>PI()/2</f>
        <v>1.5707963267948966</v>
      </c>
      <c r="B110">
        <f t="shared" si="43"/>
        <v>0.78539816339744828</v>
      </c>
      <c r="C110">
        <f t="shared" si="42"/>
        <v>0.78539816339744828</v>
      </c>
    </row>
    <row r="111" spans="1:7" x14ac:dyDescent="0.3">
      <c r="A111">
        <f>-PI()/2</f>
        <v>-1.5707963267948966</v>
      </c>
      <c r="B111">
        <f t="shared" si="43"/>
        <v>0.78539816339744828</v>
      </c>
      <c r="C111">
        <f t="shared" si="42"/>
        <v>-2.3561944901923448</v>
      </c>
    </row>
    <row r="112" spans="1:7" x14ac:dyDescent="0.3">
      <c r="A112">
        <f>PI()/2</f>
        <v>1.5707963267948966</v>
      </c>
      <c r="B112">
        <f>-PI()/4</f>
        <v>-0.78539816339744828</v>
      </c>
      <c r="C112">
        <f t="shared" si="42"/>
        <v>2.3561944901923448</v>
      </c>
    </row>
    <row r="113" spans="1:3" x14ac:dyDescent="0.3">
      <c r="A113">
        <f>-PI()/2</f>
        <v>-1.5707963267948966</v>
      </c>
      <c r="B113">
        <f>-PI()/4</f>
        <v>-0.78539816339744828</v>
      </c>
      <c r="C113">
        <f t="shared" si="42"/>
        <v>-0.78539816339744828</v>
      </c>
    </row>
    <row r="115" spans="1:3" s="2" customFormat="1" x14ac:dyDescent="0.3">
      <c r="A115" s="2" t="s">
        <v>8</v>
      </c>
    </row>
    <row r="116" spans="1:3" x14ac:dyDescent="0.3">
      <c r="A116" s="6" t="s">
        <v>146</v>
      </c>
    </row>
    <row r="117" spans="1:3" x14ac:dyDescent="0.3">
      <c r="A117">
        <f t="shared" ref="A117:A120" si="44">PI()/4</f>
        <v>0.78539816339744828</v>
      </c>
    </row>
    <row r="118" spans="1:3" x14ac:dyDescent="0.3">
      <c r="A118">
        <f t="shared" si="44"/>
        <v>0.78539816339744828</v>
      </c>
      <c r="C118">
        <f>2*PI()-0.5</f>
        <v>5.7831853071795862</v>
      </c>
    </row>
    <row r="119" spans="1:3" x14ac:dyDescent="0.3">
      <c r="A119">
        <f>-PI()/4</f>
        <v>-0.78539816339744828</v>
      </c>
    </row>
    <row r="120" spans="1:3" x14ac:dyDescent="0.3">
      <c r="A120">
        <f t="shared" si="44"/>
        <v>0.78539816339744828</v>
      </c>
    </row>
    <row r="121" spans="1:3" x14ac:dyDescent="0.3">
      <c r="A121">
        <f>-PI()/4</f>
        <v>-0.78539816339744828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8FD5B-93B3-4E50-9380-18A3BF1F0024}">
  <sheetPr codeName="Sheet10"/>
  <dimension ref="A1:G12"/>
  <sheetViews>
    <sheetView workbookViewId="0">
      <selection activeCell="H24" sqref="H24"/>
    </sheetView>
  </sheetViews>
  <sheetFormatPr defaultRowHeight="14.4" x14ac:dyDescent="0.3"/>
  <cols>
    <col min="1" max="1" width="15.6640625" bestFit="1" customWidth="1"/>
    <col min="3" max="3" width="10" bestFit="1" customWidth="1"/>
    <col min="6" max="6" width="37.77734375" bestFit="1" customWidth="1"/>
  </cols>
  <sheetData>
    <row r="1" spans="1:7" s="2" customFormat="1" x14ac:dyDescent="0.3">
      <c r="A1" s="2" t="s">
        <v>151</v>
      </c>
    </row>
    <row r="2" spans="1:7" x14ac:dyDescent="0.3">
      <c r="A2" s="6" t="s">
        <v>148</v>
      </c>
      <c r="B2" s="6" t="s">
        <v>149</v>
      </c>
      <c r="C2" s="6" t="s">
        <v>150</v>
      </c>
      <c r="D2" s="6" t="s">
        <v>66</v>
      </c>
    </row>
    <row r="3" spans="1:7" x14ac:dyDescent="0.3">
      <c r="A3">
        <v>0</v>
      </c>
      <c r="B3">
        <v>1</v>
      </c>
      <c r="C3">
        <f t="shared" ref="C3:C12" si="0">B3*A3</f>
        <v>0</v>
      </c>
      <c r="D3">
        <f t="shared" ref="D3:D12" si="1">2*B3*SIN(A3/2)</f>
        <v>0</v>
      </c>
      <c r="F3" t="str">
        <f>"[TestCase("&amp;ROUND(A3,6)&amp;", "&amp;B3&amp;", "&amp;ROUND(C3,6)&amp;")]"</f>
        <v>[TestCase(0, 1, 0)]</v>
      </c>
      <c r="G3" t="str">
        <f>"[TestCase("&amp;ROUND(A3,6)&amp;", "&amp;B3&amp;", "&amp;ROUND(D3,6)&amp;")]"</f>
        <v>[TestCase(0, 1, 0)]</v>
      </c>
    </row>
    <row r="4" spans="1:7" x14ac:dyDescent="0.3">
      <c r="A4">
        <f>PI()/2</f>
        <v>1.5707963267948966</v>
      </c>
      <c r="B4">
        <v>1</v>
      </c>
      <c r="C4">
        <f t="shared" si="0"/>
        <v>1.5707963267948966</v>
      </c>
      <c r="D4">
        <f t="shared" si="1"/>
        <v>1.4142135623730949</v>
      </c>
      <c r="F4" t="str">
        <f t="shared" ref="F4:F12" si="2">"[TestCase("&amp;ROUND(A4,6)&amp;", "&amp;B4&amp;", "&amp;ROUND(C4,6)&amp;")]"</f>
        <v>[TestCase(1.570796, 1, 1.570796)]</v>
      </c>
      <c r="G4" t="str">
        <f t="shared" ref="G4:G12" si="3">"[TestCase("&amp;ROUND(A4,6)&amp;", "&amp;B4&amp;", "&amp;ROUND(D4,6)&amp;")]"</f>
        <v>[TestCase(1.570796, 1, 1.414214)]</v>
      </c>
    </row>
    <row r="5" spans="1:7" x14ac:dyDescent="0.3">
      <c r="A5">
        <f>-PI()/2</f>
        <v>-1.5707963267948966</v>
      </c>
      <c r="B5">
        <v>1</v>
      </c>
      <c r="C5">
        <f t="shared" si="0"/>
        <v>-1.5707963267948966</v>
      </c>
      <c r="D5">
        <f t="shared" si="1"/>
        <v>-1.4142135623730949</v>
      </c>
      <c r="F5" t="str">
        <f t="shared" si="2"/>
        <v>[TestCase(-1.570796, 1, -1.570796)]</v>
      </c>
      <c r="G5" t="str">
        <f t="shared" si="3"/>
        <v>[TestCase(-1.570796, 1, -1.414214)]</v>
      </c>
    </row>
    <row r="6" spans="1:7" x14ac:dyDescent="0.3">
      <c r="A6">
        <v>0</v>
      </c>
      <c r="B6">
        <v>0</v>
      </c>
      <c r="C6">
        <f t="shared" si="0"/>
        <v>0</v>
      </c>
      <c r="D6">
        <f t="shared" si="1"/>
        <v>0</v>
      </c>
      <c r="F6" t="str">
        <f t="shared" si="2"/>
        <v>[TestCase(0, 0, 0)]</v>
      </c>
      <c r="G6" t="str">
        <f t="shared" si="3"/>
        <v>[TestCase(0, 0, 0)]</v>
      </c>
    </row>
    <row r="7" spans="1:7" x14ac:dyDescent="0.3">
      <c r="A7">
        <v>0</v>
      </c>
      <c r="B7">
        <v>3</v>
      </c>
      <c r="C7">
        <f t="shared" si="0"/>
        <v>0</v>
      </c>
      <c r="D7">
        <f t="shared" si="1"/>
        <v>0</v>
      </c>
      <c r="F7" t="str">
        <f t="shared" si="2"/>
        <v>[TestCase(0, 3, 0)]</v>
      </c>
      <c r="G7" t="str">
        <f t="shared" si="3"/>
        <v>[TestCase(0, 3, 0)]</v>
      </c>
    </row>
    <row r="8" spans="1:7" x14ac:dyDescent="0.3">
      <c r="A8">
        <f>PI()/2</f>
        <v>1.5707963267948966</v>
      </c>
      <c r="B8">
        <v>3</v>
      </c>
      <c r="C8">
        <f t="shared" si="0"/>
        <v>4.7123889803846897</v>
      </c>
      <c r="D8">
        <f t="shared" si="1"/>
        <v>4.2426406871192848</v>
      </c>
      <c r="F8" t="str">
        <f t="shared" si="2"/>
        <v>[TestCase(1.570796, 3, 4.712389)]</v>
      </c>
      <c r="G8" t="str">
        <f t="shared" si="3"/>
        <v>[TestCase(1.570796, 3, 4.242641)]</v>
      </c>
    </row>
    <row r="9" spans="1:7" x14ac:dyDescent="0.3">
      <c r="A9">
        <f>-PI()/2</f>
        <v>-1.5707963267948966</v>
      </c>
      <c r="B9">
        <v>3</v>
      </c>
      <c r="C9">
        <f t="shared" si="0"/>
        <v>-4.7123889803846897</v>
      </c>
      <c r="D9">
        <f t="shared" si="1"/>
        <v>-4.2426406871192848</v>
      </c>
      <c r="F9" t="str">
        <f t="shared" si="2"/>
        <v>[TestCase(-1.570796, 3, -4.712389)]</v>
      </c>
      <c r="G9" t="str">
        <f t="shared" si="3"/>
        <v>[TestCase(-1.570796, 3, -4.242641)]</v>
      </c>
    </row>
    <row r="10" spans="1:7" x14ac:dyDescent="0.3">
      <c r="A10">
        <v>0</v>
      </c>
      <c r="B10">
        <v>-3</v>
      </c>
      <c r="C10">
        <f t="shared" si="0"/>
        <v>0</v>
      </c>
      <c r="D10">
        <f t="shared" si="1"/>
        <v>0</v>
      </c>
      <c r="F10" t="str">
        <f t="shared" si="2"/>
        <v>[TestCase(0, -3, 0)]</v>
      </c>
      <c r="G10" t="str">
        <f t="shared" si="3"/>
        <v>[TestCase(0, -3, 0)]</v>
      </c>
    </row>
    <row r="11" spans="1:7" x14ac:dyDescent="0.3">
      <c r="A11">
        <f>PI()/2</f>
        <v>1.5707963267948966</v>
      </c>
      <c r="B11">
        <v>-3</v>
      </c>
      <c r="C11">
        <f t="shared" si="0"/>
        <v>-4.7123889803846897</v>
      </c>
      <c r="D11">
        <f t="shared" si="1"/>
        <v>-4.2426406871192848</v>
      </c>
      <c r="F11" t="str">
        <f t="shared" si="2"/>
        <v>[TestCase(1.570796, -3, -4.712389)]</v>
      </c>
      <c r="G11" t="str">
        <f t="shared" si="3"/>
        <v>[TestCase(1.570796, -3, -4.242641)]</v>
      </c>
    </row>
    <row r="12" spans="1:7" x14ac:dyDescent="0.3">
      <c r="A12">
        <f>-PI()/2</f>
        <v>-1.5707963267948966</v>
      </c>
      <c r="B12">
        <v>-3</v>
      </c>
      <c r="C12">
        <f t="shared" si="0"/>
        <v>4.7123889803846897</v>
      </c>
      <c r="D12">
        <f t="shared" si="1"/>
        <v>4.2426406871192848</v>
      </c>
      <c r="F12" t="str">
        <f t="shared" si="2"/>
        <v>[TestCase(-1.570796, -3, 4.712389)]</v>
      </c>
      <c r="G12" t="str">
        <f t="shared" si="3"/>
        <v>[TestCase(-1.570796, -3, 4.242641)]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E41AE-4B4C-45FB-B105-D99E7FB8D10E}">
  <sheetPr codeName="Sheet12"/>
  <dimension ref="A1:D21"/>
  <sheetViews>
    <sheetView workbookViewId="0">
      <selection activeCell="G19" sqref="G19"/>
    </sheetView>
  </sheetViews>
  <sheetFormatPr defaultRowHeight="14.4" x14ac:dyDescent="0.3"/>
  <sheetData>
    <row r="1" spans="1:4" s="2" customFormat="1" x14ac:dyDescent="0.3">
      <c r="A1" s="2" t="s">
        <v>183</v>
      </c>
    </row>
    <row r="2" spans="1:4" x14ac:dyDescent="0.3">
      <c r="A2" s="6" t="s">
        <v>184</v>
      </c>
      <c r="B2" s="6" t="s">
        <v>185</v>
      </c>
      <c r="C2" s="6" t="s">
        <v>3</v>
      </c>
    </row>
    <row r="3" spans="1:4" x14ac:dyDescent="0.3">
      <c r="A3">
        <f>PI()</f>
        <v>3.1415926535897931</v>
      </c>
      <c r="B3">
        <f>PI()/4</f>
        <v>0.78539816339744828</v>
      </c>
      <c r="C3">
        <f>A3-B3</f>
        <v>2.3561944901923448</v>
      </c>
      <c r="D3">
        <f>(3/4)*PI()</f>
        <v>2.3561944901923448</v>
      </c>
    </row>
    <row r="4" spans="1:4" x14ac:dyDescent="0.3">
      <c r="A4">
        <f>PI()</f>
        <v>3.1415926535897931</v>
      </c>
      <c r="B4">
        <f>-PI()/4</f>
        <v>-0.78539816339744828</v>
      </c>
      <c r="C4">
        <f t="shared" ref="C4:C13" si="0">A4-B4</f>
        <v>3.9269908169872414</v>
      </c>
      <c r="D4">
        <f>(5/4)*PI()</f>
        <v>3.9269908169872414</v>
      </c>
    </row>
    <row r="5" spans="1:4" x14ac:dyDescent="0.3">
      <c r="A5">
        <f>-PI()</f>
        <v>-3.1415926535897931</v>
      </c>
      <c r="B5">
        <f>PI()/4</f>
        <v>0.78539816339744828</v>
      </c>
      <c r="C5">
        <f t="shared" si="0"/>
        <v>-3.9269908169872414</v>
      </c>
      <c r="D5">
        <f>-(5/4)*PI()</f>
        <v>-3.9269908169872414</v>
      </c>
    </row>
    <row r="6" spans="1:4" x14ac:dyDescent="0.3">
      <c r="A6">
        <f>-PI()</f>
        <v>-3.1415926535897931</v>
      </c>
      <c r="B6">
        <f>-PI()/4</f>
        <v>-0.78539816339744828</v>
      </c>
      <c r="C6">
        <f t="shared" si="0"/>
        <v>-2.3561944901923448</v>
      </c>
      <c r="D6">
        <f>-(3/4)*PI()</f>
        <v>-2.3561944901923448</v>
      </c>
    </row>
    <row r="8" spans="1:4" x14ac:dyDescent="0.3">
      <c r="A8">
        <v>45</v>
      </c>
      <c r="B8">
        <v>4</v>
      </c>
      <c r="C8">
        <f t="shared" si="0"/>
        <v>41</v>
      </c>
    </row>
    <row r="9" spans="1:4" x14ac:dyDescent="0.3">
      <c r="A9">
        <v>45</v>
      </c>
      <c r="B9">
        <v>2.2000000000000002</v>
      </c>
      <c r="C9">
        <f t="shared" si="0"/>
        <v>42.8</v>
      </c>
    </row>
    <row r="10" spans="1:4" x14ac:dyDescent="0.3">
      <c r="A10">
        <v>45</v>
      </c>
      <c r="B10">
        <v>-2.2000000000000002</v>
      </c>
      <c r="C10">
        <f t="shared" si="0"/>
        <v>47.2</v>
      </c>
    </row>
    <row r="11" spans="1:4" x14ac:dyDescent="0.3">
      <c r="A11">
        <v>-45</v>
      </c>
      <c r="B11">
        <v>4</v>
      </c>
      <c r="C11">
        <f t="shared" si="0"/>
        <v>-49</v>
      </c>
    </row>
    <row r="12" spans="1:4" x14ac:dyDescent="0.3">
      <c r="A12">
        <v>-45</v>
      </c>
      <c r="B12">
        <v>2.2000000000000002</v>
      </c>
      <c r="C12">
        <f t="shared" si="0"/>
        <v>-47.2</v>
      </c>
    </row>
    <row r="13" spans="1:4" x14ac:dyDescent="0.3">
      <c r="A13">
        <v>-45</v>
      </c>
      <c r="B13">
        <v>-2.2000000000000002</v>
      </c>
      <c r="C13">
        <f t="shared" si="0"/>
        <v>-42.8</v>
      </c>
    </row>
    <row r="15" spans="1:4" s="2" customFormat="1" x14ac:dyDescent="0.3">
      <c r="A15" s="2" t="s">
        <v>186</v>
      </c>
    </row>
    <row r="16" spans="1:4" x14ac:dyDescent="0.3">
      <c r="A16">
        <v>45</v>
      </c>
      <c r="B16">
        <v>4</v>
      </c>
      <c r="C16">
        <f>A16+B16</f>
        <v>49</v>
      </c>
    </row>
    <row r="17" spans="1:3" x14ac:dyDescent="0.3">
      <c r="A17">
        <v>45</v>
      </c>
      <c r="B17">
        <v>2.2000000000000002</v>
      </c>
      <c r="C17">
        <f t="shared" ref="C17:C21" si="1">A17+B17</f>
        <v>47.2</v>
      </c>
    </row>
    <row r="18" spans="1:3" x14ac:dyDescent="0.3">
      <c r="A18">
        <v>45</v>
      </c>
      <c r="B18">
        <v>-2.2000000000000002</v>
      </c>
      <c r="C18">
        <f t="shared" si="1"/>
        <v>42.8</v>
      </c>
    </row>
    <row r="19" spans="1:3" x14ac:dyDescent="0.3">
      <c r="A19">
        <v>-45</v>
      </c>
      <c r="B19">
        <v>4</v>
      </c>
      <c r="C19">
        <f t="shared" si="1"/>
        <v>-41</v>
      </c>
    </row>
    <row r="20" spans="1:3" x14ac:dyDescent="0.3">
      <c r="A20">
        <v>-45</v>
      </c>
      <c r="B20">
        <v>2.2000000000000002</v>
      </c>
      <c r="C20">
        <f t="shared" si="1"/>
        <v>-42.8</v>
      </c>
    </row>
    <row r="21" spans="1:3" x14ac:dyDescent="0.3">
      <c r="A21">
        <v>-45</v>
      </c>
      <c r="B21">
        <v>-2.2000000000000002</v>
      </c>
      <c r="C21">
        <f t="shared" si="1"/>
        <v>-47.2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12607-CC50-46B5-B624-B25F930CD5D9}">
  <sheetPr codeName="Sheet13"/>
  <dimension ref="A1:T52"/>
  <sheetViews>
    <sheetView topLeftCell="A34" zoomScaleNormal="100" workbookViewId="0">
      <selection activeCell="M47" sqref="M47"/>
    </sheetView>
  </sheetViews>
  <sheetFormatPr defaultRowHeight="14.4" x14ac:dyDescent="0.3"/>
  <cols>
    <col min="2" max="2" width="9.21875" bestFit="1" customWidth="1"/>
    <col min="4" max="4" width="9.21875" bestFit="1" customWidth="1"/>
    <col min="6" max="6" width="9.21875" bestFit="1" customWidth="1"/>
    <col min="7" max="7" width="11.6640625" bestFit="1" customWidth="1"/>
    <col min="8" max="8" width="11.109375" bestFit="1" customWidth="1"/>
    <col min="9" max="9" width="11.6640625" bestFit="1" customWidth="1"/>
    <col min="10" max="10" width="11.109375" bestFit="1" customWidth="1"/>
    <col min="11" max="11" width="11.21875" bestFit="1" customWidth="1"/>
    <col min="12" max="12" width="10.6640625" bestFit="1" customWidth="1"/>
    <col min="13" max="13" width="11.21875" bestFit="1" customWidth="1"/>
    <col min="14" max="14" width="10.6640625" bestFit="1" customWidth="1"/>
  </cols>
  <sheetData>
    <row r="1" spans="1:14" s="2" customFormat="1" x14ac:dyDescent="0.3">
      <c r="A1" s="2" t="s">
        <v>187</v>
      </c>
    </row>
    <row r="2" spans="1:14" s="2" customFormat="1" x14ac:dyDescent="0.3">
      <c r="A2" s="43" t="s">
        <v>84</v>
      </c>
      <c r="B2" s="43"/>
      <c r="C2" s="42" t="s">
        <v>85</v>
      </c>
      <c r="D2" s="42"/>
      <c r="E2" s="42"/>
      <c r="F2" s="42"/>
      <c r="G2" s="44" t="s">
        <v>195</v>
      </c>
      <c r="H2" s="44"/>
      <c r="I2" s="44" t="s">
        <v>196</v>
      </c>
      <c r="J2" s="44"/>
      <c r="K2" s="44" t="s">
        <v>197</v>
      </c>
      <c r="L2" s="44"/>
      <c r="M2" s="44" t="s">
        <v>198</v>
      </c>
      <c r="N2" s="44"/>
    </row>
    <row r="3" spans="1:14" s="6" customFormat="1" x14ac:dyDescent="0.3">
      <c r="A3" s="6" t="s">
        <v>149</v>
      </c>
      <c r="B3" s="6" t="s">
        <v>188</v>
      </c>
      <c r="C3" s="6" t="s">
        <v>189</v>
      </c>
      <c r="D3" s="6" t="s">
        <v>190</v>
      </c>
      <c r="E3" s="6" t="s">
        <v>191</v>
      </c>
      <c r="F3" s="6" t="s">
        <v>192</v>
      </c>
      <c r="G3" s="6" t="s">
        <v>193</v>
      </c>
      <c r="H3" s="6" t="s">
        <v>194</v>
      </c>
      <c r="I3" s="6" t="s">
        <v>193</v>
      </c>
      <c r="J3" s="6" t="s">
        <v>194</v>
      </c>
      <c r="K3" s="6" t="s">
        <v>193</v>
      </c>
      <c r="L3" s="6" t="s">
        <v>194</v>
      </c>
      <c r="M3" s="6" t="s">
        <v>193</v>
      </c>
      <c r="N3" s="6" t="s">
        <v>194</v>
      </c>
    </row>
    <row r="4" spans="1:14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f>(E4-C4)-A4</f>
        <v>0</v>
      </c>
      <c r="H4">
        <f>(F4-D4)-B4</f>
        <v>0</v>
      </c>
      <c r="I4">
        <f>A4-(E4-C4)</f>
        <v>0</v>
      </c>
      <c r="J4">
        <f>B4-(F4-D4)</f>
        <v>0</v>
      </c>
      <c r="K4">
        <f>(E4-C4)+A4</f>
        <v>0</v>
      </c>
      <c r="L4">
        <f>(F4-D4)+B4</f>
        <v>0</v>
      </c>
      <c r="M4">
        <f>A4+(E4-C4)</f>
        <v>0</v>
      </c>
      <c r="N4">
        <f>B4+(F4-D4)</f>
        <v>0</v>
      </c>
    </row>
    <row r="5" spans="1:14" x14ac:dyDescent="0.3">
      <c r="A5">
        <v>1</v>
      </c>
      <c r="B5">
        <f>PI()/4</f>
        <v>0.78539816339744828</v>
      </c>
      <c r="C5">
        <v>5</v>
      </c>
      <c r="D5">
        <f>PI()/2</f>
        <v>1.5707963267948966</v>
      </c>
      <c r="E5">
        <v>7</v>
      </c>
      <c r="F5">
        <f>PI()</f>
        <v>3.1415926535897931</v>
      </c>
      <c r="G5">
        <f>(E5-C5)-A5</f>
        <v>1</v>
      </c>
      <c r="H5">
        <f>(F5-D5)-B5</f>
        <v>0.78539816339744828</v>
      </c>
      <c r="I5">
        <f>A5-(E5-C5)</f>
        <v>-1</v>
      </c>
      <c r="J5">
        <f>B5-(F5-D5)</f>
        <v>-0.78539816339744828</v>
      </c>
      <c r="K5">
        <f t="shared" ref="K5:K14" si="0">(E5-C5)+A5</f>
        <v>3</v>
      </c>
      <c r="L5">
        <f t="shared" ref="L5:L14" si="1">(F5-D5)+B5</f>
        <v>2.3561944901923448</v>
      </c>
      <c r="M5">
        <f t="shared" ref="M5:M14" si="2">A5+(E5-C5)</f>
        <v>3</v>
      </c>
      <c r="N5">
        <f t="shared" ref="N5:N14" si="3">B5+(F5-D5)</f>
        <v>2.3561944901923448</v>
      </c>
    </row>
    <row r="6" spans="1:14" x14ac:dyDescent="0.3">
      <c r="A6">
        <v>-1</v>
      </c>
      <c r="B6">
        <f>PI()/4</f>
        <v>0.78539816339744828</v>
      </c>
      <c r="C6">
        <v>-5</v>
      </c>
      <c r="D6">
        <f>PI()/2</f>
        <v>1.5707963267948966</v>
      </c>
      <c r="E6">
        <v>-7</v>
      </c>
      <c r="F6">
        <f>PI()</f>
        <v>3.1415926535897931</v>
      </c>
      <c r="G6" s="2">
        <f t="shared" ref="G6:G14" si="4">(E6-C6)-A6</f>
        <v>-1</v>
      </c>
      <c r="H6" s="2">
        <f t="shared" ref="H6:H14" si="5">(F6-D6)-B6</f>
        <v>0.78539816339744828</v>
      </c>
      <c r="I6" s="2">
        <f t="shared" ref="I6:I14" si="6">A6-(E6-C6)</f>
        <v>1</v>
      </c>
      <c r="J6" s="2">
        <f t="shared" ref="J6:J14" si="7">B6-(F6-D6)</f>
        <v>-0.78539816339744828</v>
      </c>
      <c r="K6">
        <f t="shared" si="0"/>
        <v>-3</v>
      </c>
      <c r="L6">
        <f t="shared" si="1"/>
        <v>2.3561944901923448</v>
      </c>
      <c r="M6">
        <f t="shared" si="2"/>
        <v>-3</v>
      </c>
      <c r="N6">
        <f t="shared" si="3"/>
        <v>2.3561944901923448</v>
      </c>
    </row>
    <row r="7" spans="1:14" x14ac:dyDescent="0.3">
      <c r="A7">
        <v>-1</v>
      </c>
      <c r="B7" s="27">
        <f>-PI()/4</f>
        <v>-0.78539816339744828</v>
      </c>
      <c r="C7">
        <v>-5</v>
      </c>
      <c r="D7" s="27">
        <f>-PI()/2</f>
        <v>-1.5707963267948966</v>
      </c>
      <c r="E7">
        <v>-7</v>
      </c>
      <c r="F7" s="27">
        <f>-PI()</f>
        <v>-3.1415926535897931</v>
      </c>
      <c r="G7">
        <f t="shared" si="4"/>
        <v>-1</v>
      </c>
      <c r="H7">
        <f t="shared" si="5"/>
        <v>-0.78539816339744828</v>
      </c>
      <c r="I7">
        <f t="shared" si="6"/>
        <v>1</v>
      </c>
      <c r="J7">
        <f t="shared" si="7"/>
        <v>0.78539816339744828</v>
      </c>
      <c r="K7">
        <f t="shared" si="0"/>
        <v>-3</v>
      </c>
      <c r="L7">
        <f t="shared" si="1"/>
        <v>-2.3561944901923448</v>
      </c>
      <c r="M7">
        <f t="shared" si="2"/>
        <v>-3</v>
      </c>
      <c r="N7">
        <f t="shared" si="3"/>
        <v>-2.3561944901923448</v>
      </c>
    </row>
    <row r="8" spans="1:14" x14ac:dyDescent="0.3">
      <c r="A8">
        <v>1</v>
      </c>
      <c r="B8" s="27">
        <f>-PI()/4</f>
        <v>-0.78539816339744828</v>
      </c>
      <c r="C8">
        <v>5</v>
      </c>
      <c r="D8" s="27">
        <f t="shared" ref="D8:D9" si="8">-PI()/2</f>
        <v>-1.5707963267948966</v>
      </c>
      <c r="E8">
        <v>7</v>
      </c>
      <c r="F8" s="27">
        <f>-PI()</f>
        <v>-3.1415926535897931</v>
      </c>
      <c r="G8">
        <f t="shared" si="4"/>
        <v>1</v>
      </c>
      <c r="H8">
        <f t="shared" si="5"/>
        <v>-0.78539816339744828</v>
      </c>
      <c r="I8">
        <f t="shared" si="6"/>
        <v>-1</v>
      </c>
      <c r="J8">
        <f t="shared" si="7"/>
        <v>0.78539816339744828</v>
      </c>
      <c r="K8">
        <f t="shared" si="0"/>
        <v>3</v>
      </c>
      <c r="L8">
        <f t="shared" si="1"/>
        <v>-2.3561944901923448</v>
      </c>
      <c r="M8">
        <f t="shared" si="2"/>
        <v>3</v>
      </c>
      <c r="N8">
        <f t="shared" si="3"/>
        <v>-2.3561944901923448</v>
      </c>
    </row>
    <row r="9" spans="1:14" x14ac:dyDescent="0.3">
      <c r="A9">
        <v>1</v>
      </c>
      <c r="B9">
        <f t="shared" ref="B9:B14" si="9">PI()/4</f>
        <v>0.78539816339744828</v>
      </c>
      <c r="C9">
        <v>-5</v>
      </c>
      <c r="D9" s="27">
        <f t="shared" si="8"/>
        <v>-1.5707963267948966</v>
      </c>
      <c r="E9">
        <v>-7</v>
      </c>
      <c r="F9" s="27">
        <f>-PI()</f>
        <v>-3.1415926535897931</v>
      </c>
      <c r="G9">
        <f t="shared" si="4"/>
        <v>-3</v>
      </c>
      <c r="H9">
        <f t="shared" si="5"/>
        <v>-2.3561944901923448</v>
      </c>
      <c r="I9">
        <f t="shared" si="6"/>
        <v>3</v>
      </c>
      <c r="J9">
        <f t="shared" si="7"/>
        <v>2.3561944901923448</v>
      </c>
      <c r="K9">
        <f t="shared" si="0"/>
        <v>-1</v>
      </c>
      <c r="L9">
        <f t="shared" si="1"/>
        <v>-0.78539816339744828</v>
      </c>
      <c r="M9">
        <f t="shared" si="2"/>
        <v>-1</v>
      </c>
      <c r="N9">
        <f t="shared" si="3"/>
        <v>-0.78539816339744828</v>
      </c>
    </row>
    <row r="10" spans="1:14" x14ac:dyDescent="0.3">
      <c r="A10">
        <v>1</v>
      </c>
      <c r="B10">
        <f t="shared" si="9"/>
        <v>0.78539816339744828</v>
      </c>
      <c r="C10">
        <v>-5</v>
      </c>
      <c r="D10">
        <f>PI()/2</f>
        <v>1.5707963267948966</v>
      </c>
      <c r="E10">
        <v>-7</v>
      </c>
      <c r="F10">
        <f>PI()</f>
        <v>3.1415926535897931</v>
      </c>
      <c r="G10">
        <f t="shared" si="4"/>
        <v>-3</v>
      </c>
      <c r="H10">
        <f t="shared" si="5"/>
        <v>0.78539816339744828</v>
      </c>
      <c r="I10">
        <f t="shared" si="6"/>
        <v>3</v>
      </c>
      <c r="J10">
        <f t="shared" si="7"/>
        <v>-0.78539816339744828</v>
      </c>
      <c r="K10">
        <f t="shared" si="0"/>
        <v>-1</v>
      </c>
      <c r="L10">
        <f t="shared" si="1"/>
        <v>2.3561944901923448</v>
      </c>
      <c r="M10">
        <f t="shared" si="2"/>
        <v>-1</v>
      </c>
      <c r="N10">
        <f t="shared" si="3"/>
        <v>2.3561944901923448</v>
      </c>
    </row>
    <row r="11" spans="1:14" x14ac:dyDescent="0.3">
      <c r="A11">
        <v>1</v>
      </c>
      <c r="B11">
        <f t="shared" si="9"/>
        <v>0.78539816339744828</v>
      </c>
      <c r="C11">
        <v>5</v>
      </c>
      <c r="D11" s="27">
        <f>-PI()/2</f>
        <v>-1.5707963267948966</v>
      </c>
      <c r="E11">
        <v>7</v>
      </c>
      <c r="F11" s="27">
        <f>-PI()</f>
        <v>-3.1415926535897931</v>
      </c>
      <c r="G11">
        <f t="shared" si="4"/>
        <v>1</v>
      </c>
      <c r="H11">
        <f t="shared" si="5"/>
        <v>-2.3561944901923448</v>
      </c>
      <c r="I11">
        <f t="shared" si="6"/>
        <v>-1</v>
      </c>
      <c r="J11">
        <f t="shared" si="7"/>
        <v>2.3561944901923448</v>
      </c>
      <c r="K11">
        <f t="shared" si="0"/>
        <v>3</v>
      </c>
      <c r="L11">
        <f t="shared" si="1"/>
        <v>-0.78539816339744828</v>
      </c>
      <c r="M11">
        <f t="shared" si="2"/>
        <v>3</v>
      </c>
      <c r="N11">
        <f t="shared" si="3"/>
        <v>-0.78539816339744828</v>
      </c>
    </row>
    <row r="12" spans="1:14" x14ac:dyDescent="0.3">
      <c r="A12">
        <v>1</v>
      </c>
      <c r="B12">
        <f t="shared" si="9"/>
        <v>0.78539816339744828</v>
      </c>
      <c r="C12">
        <v>5</v>
      </c>
      <c r="D12">
        <f t="shared" ref="D12:D14" si="10">PI()/2</f>
        <v>1.5707963267948966</v>
      </c>
      <c r="E12">
        <v>5</v>
      </c>
      <c r="F12">
        <f>PI()</f>
        <v>3.1415926535897931</v>
      </c>
      <c r="G12" s="2">
        <f t="shared" si="4"/>
        <v>-1</v>
      </c>
      <c r="H12" s="2">
        <f t="shared" si="5"/>
        <v>0.78539816339744828</v>
      </c>
      <c r="I12" s="2">
        <f t="shared" si="6"/>
        <v>1</v>
      </c>
      <c r="J12" s="2">
        <f t="shared" si="7"/>
        <v>-0.78539816339744828</v>
      </c>
      <c r="K12">
        <f t="shared" si="0"/>
        <v>1</v>
      </c>
      <c r="L12">
        <f t="shared" si="1"/>
        <v>2.3561944901923448</v>
      </c>
      <c r="M12">
        <f t="shared" si="2"/>
        <v>1</v>
      </c>
      <c r="N12">
        <f t="shared" si="3"/>
        <v>2.3561944901923448</v>
      </c>
    </row>
    <row r="13" spans="1:14" x14ac:dyDescent="0.3">
      <c r="A13">
        <v>1</v>
      </c>
      <c r="B13">
        <f t="shared" si="9"/>
        <v>0.78539816339744828</v>
      </c>
      <c r="C13">
        <v>5</v>
      </c>
      <c r="D13">
        <f t="shared" si="10"/>
        <v>1.5707963267948966</v>
      </c>
      <c r="E13">
        <v>4</v>
      </c>
      <c r="F13">
        <f>PI()</f>
        <v>3.1415926535897931</v>
      </c>
      <c r="G13">
        <f t="shared" si="4"/>
        <v>-2</v>
      </c>
      <c r="H13">
        <f t="shared" si="5"/>
        <v>0.78539816339744828</v>
      </c>
      <c r="I13">
        <f t="shared" si="6"/>
        <v>2</v>
      </c>
      <c r="J13">
        <f t="shared" si="7"/>
        <v>-0.78539816339744828</v>
      </c>
      <c r="K13">
        <f t="shared" si="0"/>
        <v>0</v>
      </c>
      <c r="L13">
        <f t="shared" si="1"/>
        <v>2.3561944901923448</v>
      </c>
      <c r="M13">
        <f t="shared" si="2"/>
        <v>0</v>
      </c>
      <c r="N13">
        <f t="shared" si="3"/>
        <v>2.3561944901923448</v>
      </c>
    </row>
    <row r="14" spans="1:14" x14ac:dyDescent="0.3">
      <c r="A14">
        <v>1.1000000000000001</v>
      </c>
      <c r="B14">
        <f t="shared" si="9"/>
        <v>0.78539816339744828</v>
      </c>
      <c r="C14">
        <v>5.5</v>
      </c>
      <c r="D14">
        <f t="shared" si="10"/>
        <v>1.5707963267948966</v>
      </c>
      <c r="E14">
        <v>4.4000000000000004</v>
      </c>
      <c r="F14">
        <f>PI()</f>
        <v>3.1415926535897931</v>
      </c>
      <c r="G14">
        <f t="shared" si="4"/>
        <v>-2.1999999999999997</v>
      </c>
      <c r="H14">
        <f t="shared" si="5"/>
        <v>0.78539816339744828</v>
      </c>
      <c r="I14">
        <f t="shared" si="6"/>
        <v>2.1999999999999997</v>
      </c>
      <c r="J14">
        <f t="shared" si="7"/>
        <v>-0.78539816339744828</v>
      </c>
      <c r="K14">
        <f t="shared" si="0"/>
        <v>0</v>
      </c>
      <c r="L14">
        <f t="shared" si="1"/>
        <v>2.3561944901923448</v>
      </c>
      <c r="M14">
        <f t="shared" si="2"/>
        <v>0</v>
      </c>
      <c r="N14">
        <f t="shared" si="3"/>
        <v>2.3561944901923448</v>
      </c>
    </row>
    <row r="16" spans="1:14" s="2" customFormat="1" x14ac:dyDescent="0.3">
      <c r="A16" s="2" t="s">
        <v>199</v>
      </c>
    </row>
    <row r="17" spans="1:20" x14ac:dyDescent="0.3">
      <c r="A17" s="6" t="s">
        <v>200</v>
      </c>
      <c r="B17" s="6" t="s">
        <v>201</v>
      </c>
      <c r="C17" s="6" t="s">
        <v>202</v>
      </c>
      <c r="D17" s="6" t="s">
        <v>203</v>
      </c>
      <c r="E17" s="6" t="s">
        <v>204</v>
      </c>
    </row>
    <row r="18" spans="1:20" x14ac:dyDescent="0.3">
      <c r="A18">
        <v>0</v>
      </c>
      <c r="B18">
        <v>0</v>
      </c>
      <c r="C18">
        <v>0</v>
      </c>
      <c r="D18">
        <v>0</v>
      </c>
      <c r="E18">
        <f>SQRT(A18^2+C18^2-2*A18*C18*COS(D18-B18))</f>
        <v>0</v>
      </c>
      <c r="G18" t="str">
        <f>"[TestCase("&amp;A18&amp;", "&amp;ROUND(B18,6)&amp;", "&amp;C18&amp;", "&amp;ROUND(D18,6)&amp;", "&amp;ROUND(E18,6)&amp;")]"</f>
        <v>[TestCase(0, 0, 0, 0, 0)]</v>
      </c>
    </row>
    <row r="19" spans="1:20" x14ac:dyDescent="0.3">
      <c r="A19">
        <v>0</v>
      </c>
      <c r="B19">
        <v>0</v>
      </c>
      <c r="C19">
        <v>0</v>
      </c>
      <c r="D19">
        <v>1</v>
      </c>
      <c r="E19">
        <f t="shared" ref="E19:E24" si="11">SQRT(A19^2+C19^2-2*A19*C19*COS(D19-B19))</f>
        <v>0</v>
      </c>
      <c r="G19" t="str">
        <f t="shared" ref="G19:G24" si="12">"[TestCase("&amp;A19&amp;", "&amp;ROUND(B19,6)&amp;", "&amp;C19&amp;", "&amp;ROUND(D19,6)&amp;", "&amp;ROUND(E19,6)&amp;")]"</f>
        <v>[TestCase(0, 0, 0, 1, 0)]</v>
      </c>
    </row>
    <row r="20" spans="1:20" x14ac:dyDescent="0.3">
      <c r="A20">
        <v>0</v>
      </c>
      <c r="B20">
        <v>0</v>
      </c>
      <c r="C20">
        <v>1</v>
      </c>
      <c r="D20">
        <v>0</v>
      </c>
      <c r="E20">
        <f t="shared" si="11"/>
        <v>1</v>
      </c>
      <c r="G20" t="str">
        <f t="shared" si="12"/>
        <v>[TestCase(0, 0, 1, 0, 1)]</v>
      </c>
    </row>
    <row r="21" spans="1:20" x14ac:dyDescent="0.3">
      <c r="A21">
        <v>1.1000000000000001</v>
      </c>
      <c r="B21">
        <f>PI()/4</f>
        <v>0.78539816339744828</v>
      </c>
      <c r="C21">
        <v>3.3</v>
      </c>
      <c r="D21">
        <f>PI()</f>
        <v>3.1415926535897931</v>
      </c>
      <c r="E21">
        <f t="shared" si="11"/>
        <v>4.1513365596412841</v>
      </c>
      <c r="G21" t="str">
        <f t="shared" si="12"/>
        <v>[TestCase(1.1, 0.785398, 3.3, 3.141593, 4.151337)]</v>
      </c>
    </row>
    <row r="22" spans="1:20" x14ac:dyDescent="0.3">
      <c r="A22">
        <v>1.1000000000000001</v>
      </c>
      <c r="B22">
        <f>-PI()/4</f>
        <v>-0.78539816339744828</v>
      </c>
      <c r="C22">
        <v>-3.3</v>
      </c>
      <c r="D22">
        <f>-PI()</f>
        <v>-3.1415926535897931</v>
      </c>
      <c r="E22">
        <f t="shared" si="11"/>
        <v>2.6393947731602534</v>
      </c>
      <c r="G22" t="str">
        <f t="shared" si="12"/>
        <v>[TestCase(1.1, -0.785398, -3.3, -3.141593, 2.639395)]</v>
      </c>
    </row>
    <row r="23" spans="1:20" x14ac:dyDescent="0.3">
      <c r="A23">
        <v>-1.1000000000000001</v>
      </c>
      <c r="B23">
        <f>-PI()/4</f>
        <v>-0.78539816339744828</v>
      </c>
      <c r="C23">
        <v>-3.3</v>
      </c>
      <c r="D23">
        <f>PI()</f>
        <v>3.1415926535897931</v>
      </c>
      <c r="E23">
        <f t="shared" si="11"/>
        <v>4.1513365596412841</v>
      </c>
      <c r="G23" t="str">
        <f t="shared" si="12"/>
        <v>[TestCase(-1.1, -0.785398, -3.3, 3.141593, 4.151337)]</v>
      </c>
    </row>
    <row r="24" spans="1:20" x14ac:dyDescent="0.3">
      <c r="A24">
        <v>-1.1000000000000001</v>
      </c>
      <c r="B24">
        <f>-PI()/4</f>
        <v>-0.78539816339744828</v>
      </c>
      <c r="C24">
        <v>3.3</v>
      </c>
      <c r="D24">
        <f>-PI()</f>
        <v>-3.1415926535897931</v>
      </c>
      <c r="E24">
        <f t="shared" si="11"/>
        <v>2.6393947731602534</v>
      </c>
      <c r="G24" t="str">
        <f t="shared" si="12"/>
        <v>[TestCase(-1.1, -0.785398, 3.3, -3.141593, 2.639395)]</v>
      </c>
    </row>
    <row r="26" spans="1:20" s="2" customFormat="1" x14ac:dyDescent="0.3">
      <c r="A26" s="2" t="s">
        <v>205</v>
      </c>
    </row>
    <row r="27" spans="1:20" s="6" customFormat="1" x14ac:dyDescent="0.3">
      <c r="A27" s="13" t="s">
        <v>218</v>
      </c>
      <c r="B27" s="18" t="s">
        <v>219</v>
      </c>
      <c r="C27" s="6" t="s">
        <v>212</v>
      </c>
      <c r="D27" s="6" t="s">
        <v>210</v>
      </c>
      <c r="E27" s="13" t="s">
        <v>213</v>
      </c>
      <c r="F27" s="18" t="s">
        <v>211</v>
      </c>
      <c r="G27" s="13" t="s">
        <v>214</v>
      </c>
      <c r="H27" s="14" t="s">
        <v>216</v>
      </c>
      <c r="I27" s="14" t="s">
        <v>217</v>
      </c>
      <c r="J27" s="18" t="s">
        <v>215</v>
      </c>
      <c r="K27" s="6" t="s">
        <v>206</v>
      </c>
      <c r="L27" s="6" t="s">
        <v>207</v>
      </c>
      <c r="M27" s="6" t="s">
        <v>208</v>
      </c>
      <c r="N27" s="6" t="s">
        <v>209</v>
      </c>
      <c r="O27" s="6" t="s">
        <v>162</v>
      </c>
      <c r="P27" s="6" t="s">
        <v>19</v>
      </c>
    </row>
    <row r="28" spans="1:20" x14ac:dyDescent="0.3">
      <c r="A28" s="38">
        <v>0</v>
      </c>
      <c r="B28" s="39">
        <v>0</v>
      </c>
      <c r="C28" s="10">
        <v>0</v>
      </c>
      <c r="D28" s="10">
        <v>0</v>
      </c>
      <c r="E28" s="38">
        <v>0</v>
      </c>
      <c r="F28" s="39">
        <v>0</v>
      </c>
      <c r="G28" s="38">
        <v>0</v>
      </c>
      <c r="H28" s="40">
        <v>0</v>
      </c>
      <c r="I28" s="40">
        <v>0</v>
      </c>
      <c r="J28" s="39">
        <v>0</v>
      </c>
      <c r="K28">
        <f t="shared" ref="K28:K42" si="13">(A28-C28)*(B28-D28)</f>
        <v>0</v>
      </c>
      <c r="L28">
        <f t="shared" ref="L28:L42" si="14">(E28-A28)*(B28-D28)</f>
        <v>0</v>
      </c>
      <c r="M28">
        <f t="shared" ref="M28:M42" si="15">(A28-C28)*(F28-B28)</f>
        <v>0</v>
      </c>
      <c r="N28">
        <f t="shared" ref="N28:N42" si="16">(E28-A28)*(F28-B28)</f>
        <v>0</v>
      </c>
      <c r="O28">
        <f t="shared" ref="O28:O42" si="17">(E28-C28)*(F28-D28)</f>
        <v>0</v>
      </c>
      <c r="P28" t="e">
        <f t="shared" ref="P28:P42" si="18">(G28*N28+H28*M28+I28*L28+J28*K28)/O28</f>
        <v>#DIV/0!</v>
      </c>
      <c r="T28" t="e">
        <f>"[TestCase("&amp;A28&amp;", "&amp;B28&amp;", "&amp;C28&amp;", "&amp;D28&amp;", "&amp;E28&amp;", "&amp;F28&amp;", "&amp;G28&amp;", "&amp;H28&amp;", "&amp;I28&amp;", "&amp;J28&amp;", "&amp;ROUND(P28,6)&amp;")]  // " &amp;Q28</f>
        <v>#DIV/0!</v>
      </c>
    </row>
    <row r="29" spans="1:20" x14ac:dyDescent="0.3">
      <c r="A29" s="38">
        <v>2.2000000000000002</v>
      </c>
      <c r="B29" s="39">
        <v>3.3</v>
      </c>
      <c r="C29" s="10">
        <v>1.1000000000000001</v>
      </c>
      <c r="D29" s="10">
        <v>2.2000000000000002</v>
      </c>
      <c r="E29" s="38">
        <v>1.1000000000000001</v>
      </c>
      <c r="F29" s="39">
        <v>6.6</v>
      </c>
      <c r="G29" s="38">
        <v>1.5</v>
      </c>
      <c r="H29" s="40">
        <v>1.5</v>
      </c>
      <c r="I29" s="40">
        <v>1.5</v>
      </c>
      <c r="J29" s="39">
        <v>1.5</v>
      </c>
      <c r="K29">
        <f t="shared" si="13"/>
        <v>1.2099999999999997</v>
      </c>
      <c r="L29">
        <f t="shared" si="14"/>
        <v>-1.2099999999999997</v>
      </c>
      <c r="M29">
        <f t="shared" si="15"/>
        <v>3.63</v>
      </c>
      <c r="N29">
        <f t="shared" si="16"/>
        <v>-3.63</v>
      </c>
      <c r="O29">
        <f t="shared" si="17"/>
        <v>0</v>
      </c>
      <c r="P29" t="e">
        <f t="shared" si="18"/>
        <v>#DIV/0!</v>
      </c>
      <c r="Q29" t="s">
        <v>232</v>
      </c>
      <c r="T29" t="e">
        <f t="shared" ref="T29:T42" si="19">"[TestCase("&amp;A29&amp;", "&amp;B29&amp;", "&amp;C29&amp;", "&amp;D29&amp;", "&amp;E29&amp;", "&amp;F29&amp;", "&amp;G29&amp;", "&amp;H29&amp;", "&amp;I29&amp;", "&amp;J29&amp;", "&amp;ROUND(P29,6)&amp;")]  // " &amp;Q29</f>
        <v>#DIV/0!</v>
      </c>
    </row>
    <row r="30" spans="1:20" x14ac:dyDescent="0.3">
      <c r="A30" s="38">
        <v>2.2000000000000002</v>
      </c>
      <c r="B30" s="39">
        <v>3.3</v>
      </c>
      <c r="C30" s="10">
        <v>1.1000000000000001</v>
      </c>
      <c r="D30" s="10">
        <v>2.2000000000000002</v>
      </c>
      <c r="E30" s="38">
        <v>4.4000000000000004</v>
      </c>
      <c r="F30" s="39">
        <v>2.2000000000000002</v>
      </c>
      <c r="G30" s="38">
        <v>1.5</v>
      </c>
      <c r="H30" s="40">
        <v>1.5</v>
      </c>
      <c r="I30" s="40">
        <v>1.5</v>
      </c>
      <c r="J30" s="39">
        <v>1.5</v>
      </c>
      <c r="K30">
        <f t="shared" si="13"/>
        <v>1.2099999999999997</v>
      </c>
      <c r="L30">
        <f t="shared" si="14"/>
        <v>2.4199999999999995</v>
      </c>
      <c r="M30">
        <f t="shared" si="15"/>
        <v>-1.2099999999999997</v>
      </c>
      <c r="N30">
        <f t="shared" si="16"/>
        <v>-2.4199999999999995</v>
      </c>
      <c r="O30">
        <f t="shared" si="17"/>
        <v>0</v>
      </c>
      <c r="P30" t="e">
        <f t="shared" si="18"/>
        <v>#DIV/0!</v>
      </c>
      <c r="Q30" t="s">
        <v>233</v>
      </c>
      <c r="T30" t="e">
        <f t="shared" si="19"/>
        <v>#DIV/0!</v>
      </c>
    </row>
    <row r="31" spans="1:20" x14ac:dyDescent="0.3">
      <c r="A31" s="38">
        <v>2.2000000000000002</v>
      </c>
      <c r="B31" s="39">
        <v>3.3</v>
      </c>
      <c r="C31" s="10">
        <v>1.1000000000000001</v>
      </c>
      <c r="D31" s="10">
        <v>2.2000000000000002</v>
      </c>
      <c r="E31" s="38">
        <v>4.4000000000000004</v>
      </c>
      <c r="F31" s="39">
        <v>6.6</v>
      </c>
      <c r="G31" s="38">
        <v>1.5</v>
      </c>
      <c r="H31" s="40">
        <v>1.5</v>
      </c>
      <c r="I31" s="40">
        <v>1.5</v>
      </c>
      <c r="J31" s="39">
        <v>1.5</v>
      </c>
      <c r="K31">
        <f t="shared" si="13"/>
        <v>1.2099999999999997</v>
      </c>
      <c r="L31">
        <f t="shared" si="14"/>
        <v>2.4199999999999995</v>
      </c>
      <c r="M31">
        <f t="shared" si="15"/>
        <v>3.63</v>
      </c>
      <c r="N31">
        <f t="shared" si="16"/>
        <v>7.26</v>
      </c>
      <c r="O31">
        <f t="shared" si="17"/>
        <v>14.52</v>
      </c>
      <c r="P31">
        <f t="shared" si="18"/>
        <v>1.5000000000000002</v>
      </c>
      <c r="Q31" t="s">
        <v>220</v>
      </c>
      <c r="T31" t="str">
        <f t="shared" si="19"/>
        <v>[TestCase(2.2, 3.3, 1.1, 2.2, 4.4, 6.6, 1.5, 1.5, 1.5, 1.5, 1.5)]  // All Corners have same value</v>
      </c>
    </row>
    <row r="32" spans="1:20" x14ac:dyDescent="0.3">
      <c r="A32" s="38">
        <v>1.1000000000000001</v>
      </c>
      <c r="B32" s="39">
        <v>2.2000000000000002</v>
      </c>
      <c r="C32" s="10">
        <v>1.1000000000000001</v>
      </c>
      <c r="D32" s="10">
        <v>2.2000000000000002</v>
      </c>
      <c r="E32" s="38">
        <v>4.4000000000000004</v>
      </c>
      <c r="F32" s="39">
        <v>6.6</v>
      </c>
      <c r="G32" s="38">
        <v>1</v>
      </c>
      <c r="H32" s="40">
        <v>2</v>
      </c>
      <c r="I32" s="40">
        <v>3</v>
      </c>
      <c r="J32" s="39">
        <v>4</v>
      </c>
      <c r="K32">
        <f t="shared" si="13"/>
        <v>0</v>
      </c>
      <c r="L32">
        <f t="shared" si="14"/>
        <v>0</v>
      </c>
      <c r="M32">
        <f t="shared" si="15"/>
        <v>0</v>
      </c>
      <c r="N32">
        <f t="shared" si="16"/>
        <v>14.52</v>
      </c>
      <c r="O32">
        <f t="shared" si="17"/>
        <v>14.52</v>
      </c>
      <c r="P32">
        <f t="shared" si="18"/>
        <v>1</v>
      </c>
      <c r="Q32" t="s">
        <v>224</v>
      </c>
      <c r="T32" t="str">
        <f t="shared" si="19"/>
        <v>[TestCase(1.1, 2.2, 1.1, 2.2, 4.4, 6.6, 1, 2, 3, 4, 1)]  // Pt ii</v>
      </c>
    </row>
    <row r="33" spans="1:20" x14ac:dyDescent="0.3">
      <c r="A33" s="38">
        <v>4.4000000000000004</v>
      </c>
      <c r="B33" s="39">
        <v>6.6</v>
      </c>
      <c r="C33" s="10">
        <v>1.1000000000000001</v>
      </c>
      <c r="D33" s="10">
        <v>2.2000000000000002</v>
      </c>
      <c r="E33" s="38">
        <v>4.4000000000000004</v>
      </c>
      <c r="F33" s="39">
        <v>6.6</v>
      </c>
      <c r="G33" s="38">
        <v>1</v>
      </c>
      <c r="H33" s="40">
        <v>2</v>
      </c>
      <c r="I33" s="40">
        <v>3</v>
      </c>
      <c r="J33" s="39">
        <v>4</v>
      </c>
      <c r="K33">
        <f t="shared" si="13"/>
        <v>14.52</v>
      </c>
      <c r="L33">
        <f t="shared" si="14"/>
        <v>0</v>
      </c>
      <c r="M33">
        <f t="shared" si="15"/>
        <v>0</v>
      </c>
      <c r="N33">
        <f t="shared" si="16"/>
        <v>0</v>
      </c>
      <c r="O33">
        <f t="shared" si="17"/>
        <v>14.52</v>
      </c>
      <c r="P33">
        <f t="shared" si="18"/>
        <v>4</v>
      </c>
      <c r="Q33" t="s">
        <v>225</v>
      </c>
      <c r="T33" t="str">
        <f t="shared" si="19"/>
        <v>[TestCase(4.4, 6.6, 1.1, 2.2, 4.4, 6.6, 1, 2, 3, 4, 4)]  // Pt jj</v>
      </c>
    </row>
    <row r="34" spans="1:20" x14ac:dyDescent="0.3">
      <c r="A34" s="38">
        <v>1.1000000000000001</v>
      </c>
      <c r="B34" s="39">
        <v>6.6</v>
      </c>
      <c r="C34" s="10">
        <v>1.1000000000000001</v>
      </c>
      <c r="D34" s="10">
        <v>2.2000000000000002</v>
      </c>
      <c r="E34" s="38">
        <v>4.4000000000000004</v>
      </c>
      <c r="F34" s="39">
        <v>6.6</v>
      </c>
      <c r="G34" s="38">
        <v>1</v>
      </c>
      <c r="H34" s="40">
        <v>2</v>
      </c>
      <c r="I34" s="40">
        <v>3</v>
      </c>
      <c r="J34" s="39">
        <v>4</v>
      </c>
      <c r="K34">
        <f t="shared" si="13"/>
        <v>0</v>
      </c>
      <c r="L34">
        <f t="shared" si="14"/>
        <v>14.52</v>
      </c>
      <c r="M34">
        <f t="shared" si="15"/>
        <v>0</v>
      </c>
      <c r="N34">
        <f t="shared" si="16"/>
        <v>0</v>
      </c>
      <c r="O34">
        <f t="shared" si="17"/>
        <v>14.52</v>
      </c>
      <c r="P34">
        <f t="shared" si="18"/>
        <v>3.0000000000000004</v>
      </c>
      <c r="Q34" t="s">
        <v>226</v>
      </c>
      <c r="T34" t="str">
        <f t="shared" si="19"/>
        <v>[TestCase(1.1, 6.6, 1.1, 2.2, 4.4, 6.6, 1, 2, 3, 4, 3)]  // Pt ij</v>
      </c>
    </row>
    <row r="35" spans="1:20" x14ac:dyDescent="0.3">
      <c r="A35" s="38">
        <v>4.4000000000000004</v>
      </c>
      <c r="B35" s="39">
        <v>2.2000000000000002</v>
      </c>
      <c r="C35" s="10">
        <v>1.1000000000000001</v>
      </c>
      <c r="D35" s="10">
        <v>2.2000000000000002</v>
      </c>
      <c r="E35" s="38">
        <v>4.4000000000000004</v>
      </c>
      <c r="F35" s="39">
        <v>6.6</v>
      </c>
      <c r="G35" s="38">
        <v>1</v>
      </c>
      <c r="H35" s="40">
        <v>2</v>
      </c>
      <c r="I35" s="40">
        <v>3</v>
      </c>
      <c r="J35" s="39">
        <v>4</v>
      </c>
      <c r="K35">
        <f t="shared" si="13"/>
        <v>0</v>
      </c>
      <c r="L35">
        <f t="shared" si="14"/>
        <v>0</v>
      </c>
      <c r="M35">
        <f t="shared" si="15"/>
        <v>14.52</v>
      </c>
      <c r="N35">
        <f t="shared" si="16"/>
        <v>0</v>
      </c>
      <c r="O35">
        <f t="shared" si="17"/>
        <v>14.52</v>
      </c>
      <c r="P35">
        <f t="shared" si="18"/>
        <v>2</v>
      </c>
      <c r="Q35" t="s">
        <v>227</v>
      </c>
      <c r="T35" t="str">
        <f t="shared" si="19"/>
        <v>[TestCase(4.4, 2.2, 1.1, 2.2, 4.4, 6.6, 1, 2, 3, 4, 2)]  // Pt ji</v>
      </c>
    </row>
    <row r="36" spans="1:20" x14ac:dyDescent="0.3">
      <c r="A36" s="38">
        <f>0.5*(E36-C36)+C36</f>
        <v>2.75</v>
      </c>
      <c r="B36" s="39">
        <v>2.2000000000000002</v>
      </c>
      <c r="C36" s="10">
        <v>1.1000000000000001</v>
      </c>
      <c r="D36" s="10">
        <v>2.2000000000000002</v>
      </c>
      <c r="E36" s="38">
        <v>4.4000000000000004</v>
      </c>
      <c r="F36" s="39">
        <v>6.6</v>
      </c>
      <c r="G36" s="38">
        <v>1</v>
      </c>
      <c r="H36" s="40">
        <v>2</v>
      </c>
      <c r="I36" s="40">
        <v>3</v>
      </c>
      <c r="J36" s="39">
        <v>4</v>
      </c>
      <c r="K36">
        <f t="shared" si="13"/>
        <v>0</v>
      </c>
      <c r="L36">
        <f t="shared" si="14"/>
        <v>0</v>
      </c>
      <c r="M36">
        <f t="shared" si="15"/>
        <v>7.2599999999999989</v>
      </c>
      <c r="N36">
        <f t="shared" si="16"/>
        <v>7.2600000000000007</v>
      </c>
      <c r="O36">
        <f t="shared" si="17"/>
        <v>14.52</v>
      </c>
      <c r="P36" s="3">
        <f t="shared" si="18"/>
        <v>1.4999999999999998</v>
      </c>
      <c r="Q36" t="s">
        <v>221</v>
      </c>
      <c r="T36" t="str">
        <f t="shared" si="19"/>
        <v>[TestCase(2.75, 2.2, 1.1, 2.2, 4.4, 6.6, 1, 2, 3, 4, 1.5)]  // Top Edge</v>
      </c>
    </row>
    <row r="37" spans="1:20" x14ac:dyDescent="0.3">
      <c r="A37" s="38">
        <f>0.5*(E37-C37)+C37</f>
        <v>2.75</v>
      </c>
      <c r="B37" s="39">
        <v>6.6</v>
      </c>
      <c r="C37" s="10">
        <v>1.1000000000000001</v>
      </c>
      <c r="D37" s="10">
        <v>2.2000000000000002</v>
      </c>
      <c r="E37" s="38">
        <v>4.4000000000000004</v>
      </c>
      <c r="F37" s="39">
        <v>6.6</v>
      </c>
      <c r="G37" s="38">
        <v>1</v>
      </c>
      <c r="H37" s="40">
        <v>2</v>
      </c>
      <c r="I37" s="40">
        <v>3</v>
      </c>
      <c r="J37" s="39">
        <v>4</v>
      </c>
      <c r="K37">
        <f t="shared" si="13"/>
        <v>7.2599999999999989</v>
      </c>
      <c r="L37">
        <f t="shared" si="14"/>
        <v>7.2600000000000007</v>
      </c>
      <c r="M37">
        <f t="shared" si="15"/>
        <v>0</v>
      </c>
      <c r="N37">
        <f t="shared" si="16"/>
        <v>0</v>
      </c>
      <c r="O37">
        <f t="shared" si="17"/>
        <v>14.52</v>
      </c>
      <c r="P37" s="3">
        <f t="shared" si="18"/>
        <v>3.4999999999999996</v>
      </c>
      <c r="Q37" t="s">
        <v>231</v>
      </c>
      <c r="T37" t="str">
        <f t="shared" si="19"/>
        <v>[TestCase(2.75, 6.6, 1.1, 2.2, 4.4, 6.6, 1, 2, 3, 4, 3.5)]  // Bottom Edge</v>
      </c>
    </row>
    <row r="38" spans="1:20" x14ac:dyDescent="0.3">
      <c r="A38" s="38">
        <v>1.1000000000000001</v>
      </c>
      <c r="B38" s="39">
        <f>0.5*(F38-D38)+D38</f>
        <v>4.4000000000000004</v>
      </c>
      <c r="C38" s="10">
        <v>1.1000000000000001</v>
      </c>
      <c r="D38" s="10">
        <v>2.2000000000000002</v>
      </c>
      <c r="E38" s="38">
        <v>4.4000000000000004</v>
      </c>
      <c r="F38" s="39">
        <v>6.6</v>
      </c>
      <c r="G38" s="38">
        <v>1</v>
      </c>
      <c r="H38" s="40">
        <v>2</v>
      </c>
      <c r="I38" s="40">
        <v>3</v>
      </c>
      <c r="J38" s="39">
        <v>4</v>
      </c>
      <c r="K38">
        <f t="shared" si="13"/>
        <v>0</v>
      </c>
      <c r="L38">
        <f t="shared" si="14"/>
        <v>7.2600000000000016</v>
      </c>
      <c r="M38">
        <f t="shared" si="15"/>
        <v>0</v>
      </c>
      <c r="N38">
        <f t="shared" si="16"/>
        <v>7.259999999999998</v>
      </c>
      <c r="O38">
        <f t="shared" si="17"/>
        <v>14.52</v>
      </c>
      <c r="P38" s="3">
        <f t="shared" si="18"/>
        <v>2.0000000000000004</v>
      </c>
      <c r="Q38" t="s">
        <v>222</v>
      </c>
      <c r="T38" t="str">
        <f t="shared" si="19"/>
        <v>[TestCase(1.1, 4.4, 1.1, 2.2, 4.4, 6.6, 1, 2, 3, 4, 2)]  // Left Edge</v>
      </c>
    </row>
    <row r="39" spans="1:20" x14ac:dyDescent="0.3">
      <c r="A39" s="38">
        <v>4.4000000000000004</v>
      </c>
      <c r="B39" s="39">
        <f>0.5*(F39-D39)+D39</f>
        <v>4.4000000000000004</v>
      </c>
      <c r="C39" s="10">
        <v>1.1000000000000001</v>
      </c>
      <c r="D39" s="10">
        <v>2.2000000000000002</v>
      </c>
      <c r="E39" s="38">
        <v>4.4000000000000004</v>
      </c>
      <c r="F39" s="39">
        <v>6.6</v>
      </c>
      <c r="G39" s="38">
        <v>1</v>
      </c>
      <c r="H39" s="40">
        <v>2</v>
      </c>
      <c r="I39" s="40">
        <v>3</v>
      </c>
      <c r="J39" s="39">
        <v>4</v>
      </c>
      <c r="K39">
        <f t="shared" si="13"/>
        <v>7.2600000000000016</v>
      </c>
      <c r="L39">
        <f t="shared" si="14"/>
        <v>0</v>
      </c>
      <c r="M39">
        <f t="shared" si="15"/>
        <v>7.259999999999998</v>
      </c>
      <c r="N39">
        <f t="shared" si="16"/>
        <v>0</v>
      </c>
      <c r="O39">
        <f t="shared" si="17"/>
        <v>14.52</v>
      </c>
      <c r="P39" s="3">
        <f t="shared" si="18"/>
        <v>3.0000000000000004</v>
      </c>
      <c r="Q39" t="s">
        <v>223</v>
      </c>
      <c r="T39" t="str">
        <f t="shared" si="19"/>
        <v>[TestCase(4.4, 4.4, 1.1, 2.2, 4.4, 6.6, 1, 2, 3, 4, 3)]  // Right Edge</v>
      </c>
    </row>
    <row r="40" spans="1:20" x14ac:dyDescent="0.3">
      <c r="A40" s="38">
        <f>0.5*(E40-C40)+C40</f>
        <v>2.75</v>
      </c>
      <c r="B40" s="39">
        <f>0.5*(F40-D40)+D40</f>
        <v>4.4000000000000004</v>
      </c>
      <c r="C40" s="10">
        <v>1.1000000000000001</v>
      </c>
      <c r="D40" s="10">
        <v>2.2000000000000002</v>
      </c>
      <c r="E40" s="38">
        <v>4.4000000000000004</v>
      </c>
      <c r="F40" s="39">
        <v>6.6</v>
      </c>
      <c r="G40" s="38">
        <v>1.5</v>
      </c>
      <c r="H40" s="40">
        <v>1.5</v>
      </c>
      <c r="I40" s="40">
        <v>2.5</v>
      </c>
      <c r="J40" s="39">
        <v>2.5</v>
      </c>
      <c r="K40">
        <f t="shared" si="13"/>
        <v>3.63</v>
      </c>
      <c r="L40">
        <f t="shared" si="14"/>
        <v>3.6300000000000012</v>
      </c>
      <c r="M40">
        <f t="shared" si="15"/>
        <v>3.6299999999999986</v>
      </c>
      <c r="N40">
        <f t="shared" si="16"/>
        <v>3.6299999999999994</v>
      </c>
      <c r="O40">
        <f t="shared" si="17"/>
        <v>14.52</v>
      </c>
      <c r="P40">
        <f t="shared" si="18"/>
        <v>2</v>
      </c>
      <c r="Q40" t="s">
        <v>228</v>
      </c>
      <c r="T40" t="str">
        <f t="shared" si="19"/>
        <v>[TestCase(2.75, 4.4, 1.1, 2.2, 4.4, 6.6, 1.5, 1.5, 2.5, 2.5, 2)]  // Center of plane sloped along rows</v>
      </c>
    </row>
    <row r="41" spans="1:20" x14ac:dyDescent="0.3">
      <c r="A41" s="38">
        <f>0.5*(E41-C41)+C41</f>
        <v>2.75</v>
      </c>
      <c r="B41" s="39">
        <f>0.5*(F41-D41)+D41</f>
        <v>4.4000000000000004</v>
      </c>
      <c r="C41" s="10">
        <v>1.1000000000000001</v>
      </c>
      <c r="D41" s="10">
        <v>2.2000000000000002</v>
      </c>
      <c r="E41" s="38">
        <v>4.4000000000000004</v>
      </c>
      <c r="F41" s="39">
        <v>6.6</v>
      </c>
      <c r="G41" s="38">
        <v>1.5</v>
      </c>
      <c r="H41" s="40">
        <v>3.5</v>
      </c>
      <c r="I41" s="40">
        <v>1.5</v>
      </c>
      <c r="J41" s="39">
        <v>3.5</v>
      </c>
      <c r="K41">
        <f t="shared" si="13"/>
        <v>3.63</v>
      </c>
      <c r="L41">
        <f t="shared" si="14"/>
        <v>3.6300000000000012</v>
      </c>
      <c r="M41">
        <f t="shared" si="15"/>
        <v>3.6299999999999986</v>
      </c>
      <c r="N41">
        <f t="shared" si="16"/>
        <v>3.6299999999999994</v>
      </c>
      <c r="O41">
        <f t="shared" si="17"/>
        <v>14.52</v>
      </c>
      <c r="P41">
        <f t="shared" si="18"/>
        <v>2.5</v>
      </c>
      <c r="Q41" t="s">
        <v>229</v>
      </c>
      <c r="T41" t="str">
        <f t="shared" si="19"/>
        <v>[TestCase(2.75, 4.4, 1.1, 2.2, 4.4, 6.6, 1.5, 3.5, 1.5, 3.5, 2.5)]  // Center of plane sloped along columns</v>
      </c>
    </row>
    <row r="42" spans="1:20" x14ac:dyDescent="0.3">
      <c r="A42" s="38">
        <v>2.2000000000000002</v>
      </c>
      <c r="B42" s="39">
        <v>3.3</v>
      </c>
      <c r="C42" s="10">
        <v>1.1000000000000001</v>
      </c>
      <c r="D42" s="10">
        <v>2.2000000000000002</v>
      </c>
      <c r="E42" s="38">
        <v>4.4000000000000004</v>
      </c>
      <c r="F42" s="39">
        <v>6.6</v>
      </c>
      <c r="G42" s="38">
        <v>1.1000000000000001</v>
      </c>
      <c r="H42" s="40">
        <v>2.2000000000000002</v>
      </c>
      <c r="I42" s="40">
        <v>3.3</v>
      </c>
      <c r="J42" s="39">
        <v>4.4000000000000004</v>
      </c>
      <c r="K42">
        <f t="shared" si="13"/>
        <v>1.2099999999999997</v>
      </c>
      <c r="L42">
        <f t="shared" si="14"/>
        <v>2.4199999999999995</v>
      </c>
      <c r="M42">
        <f t="shared" si="15"/>
        <v>3.63</v>
      </c>
      <c r="N42">
        <f t="shared" si="16"/>
        <v>7.26</v>
      </c>
      <c r="O42">
        <f t="shared" si="17"/>
        <v>14.52</v>
      </c>
      <c r="P42">
        <f t="shared" si="18"/>
        <v>2.0166666666666666</v>
      </c>
      <c r="Q42" t="s">
        <v>230</v>
      </c>
      <c r="T42" t="str">
        <f t="shared" si="19"/>
        <v>[TestCase(2.2, 3.3, 1.1, 2.2, 4.4, 6.6, 1.1, 2.2, 3.3, 4.4, 2.016667)]  // All corners have different value, point not centered</v>
      </c>
    </row>
    <row r="44" spans="1:20" s="2" customFormat="1" x14ac:dyDescent="0.3">
      <c r="A44" s="2" t="s">
        <v>234</v>
      </c>
    </row>
    <row r="45" spans="1:20" x14ac:dyDescent="0.3">
      <c r="A45" s="6" t="s">
        <v>23</v>
      </c>
      <c r="B45" s="6" t="s">
        <v>125</v>
      </c>
      <c r="C45" s="6" t="s">
        <v>126</v>
      </c>
      <c r="D45" s="6" t="s">
        <v>127</v>
      </c>
      <c r="E45" s="6" t="s">
        <v>128</v>
      </c>
      <c r="F45" s="6" t="s">
        <v>22</v>
      </c>
    </row>
    <row r="46" spans="1:20" x14ac:dyDescent="0.3">
      <c r="A46">
        <v>3</v>
      </c>
      <c r="B46">
        <v>2</v>
      </c>
      <c r="C46">
        <v>3</v>
      </c>
      <c r="D46">
        <v>2</v>
      </c>
      <c r="E46">
        <v>3</v>
      </c>
      <c r="F46" t="e">
        <f>(A46-C46)*((D46-B46)/(E46-C46))+B46</f>
        <v>#DIV/0!</v>
      </c>
      <c r="G46" t="s">
        <v>238</v>
      </c>
    </row>
    <row r="47" spans="1:20" x14ac:dyDescent="0.3">
      <c r="A47">
        <v>2</v>
      </c>
      <c r="B47">
        <v>2</v>
      </c>
      <c r="C47">
        <v>3</v>
      </c>
      <c r="D47">
        <v>6</v>
      </c>
      <c r="E47">
        <v>3</v>
      </c>
      <c r="F47" t="e">
        <f>(A47-C47)*((D47-B47)/(E47-C47))+B47</f>
        <v>#DIV/0!</v>
      </c>
      <c r="G47" t="s">
        <v>240</v>
      </c>
    </row>
    <row r="48" spans="1:20" x14ac:dyDescent="0.3">
      <c r="A48">
        <v>3</v>
      </c>
      <c r="B48">
        <v>2</v>
      </c>
      <c r="C48">
        <v>3</v>
      </c>
      <c r="D48">
        <v>6</v>
      </c>
      <c r="E48">
        <v>3</v>
      </c>
      <c r="F48" t="e">
        <f>(A48-C48)*((D48-B48)/(E48-C48))+B48</f>
        <v>#DIV/0!</v>
      </c>
      <c r="G48" t="s">
        <v>241</v>
      </c>
    </row>
    <row r="49" spans="1:9" x14ac:dyDescent="0.3">
      <c r="A49">
        <v>3</v>
      </c>
      <c r="B49">
        <v>2</v>
      </c>
      <c r="C49">
        <v>3</v>
      </c>
      <c r="D49">
        <v>2</v>
      </c>
      <c r="E49">
        <v>10</v>
      </c>
      <c r="F49">
        <f>(A49-C49)*((D49-B49)/(E49-C49))+B49</f>
        <v>2</v>
      </c>
      <c r="G49" t="s">
        <v>235</v>
      </c>
      <c r="I49" t="str">
        <f>"[TestCase("&amp;A49&amp;", "&amp;B49&amp;", "&amp;C49&amp;", "&amp;D49&amp;", "&amp;E49&amp;", "&amp;ROUND(F49,6)&amp;")]  // " &amp;G49</f>
        <v>[TestCase(3, 2, 3, 2, 10, 2)]  // vertical line</v>
      </c>
    </row>
    <row r="50" spans="1:9" x14ac:dyDescent="0.3">
      <c r="A50">
        <v>4</v>
      </c>
      <c r="B50">
        <v>2</v>
      </c>
      <c r="C50">
        <v>3</v>
      </c>
      <c r="D50">
        <v>5</v>
      </c>
      <c r="E50">
        <v>6</v>
      </c>
      <c r="F50">
        <f t="shared" ref="F50:F52" si="20">(A50-C50)*((D50-B50)/(E50-C50))+B50</f>
        <v>3</v>
      </c>
      <c r="G50" t="s">
        <v>236</v>
      </c>
      <c r="I50" t="str">
        <f t="shared" ref="I50:I52" si="21">"[TestCase("&amp;A50&amp;", "&amp;B50&amp;", "&amp;C50&amp;", "&amp;D50&amp;", "&amp;E50&amp;", "&amp;ROUND(F50,6)&amp;")]  // " &amp;G50</f>
        <v>[TestCase(4, 2, 3, 5, 6, 3)]  // within points</v>
      </c>
    </row>
    <row r="51" spans="1:9" x14ac:dyDescent="0.3">
      <c r="A51">
        <v>7</v>
      </c>
      <c r="B51">
        <v>2</v>
      </c>
      <c r="C51">
        <v>3</v>
      </c>
      <c r="D51">
        <v>5</v>
      </c>
      <c r="E51">
        <v>6</v>
      </c>
      <c r="F51">
        <f t="shared" si="20"/>
        <v>6</v>
      </c>
      <c r="G51" t="s">
        <v>237</v>
      </c>
      <c r="I51" t="str">
        <f t="shared" si="21"/>
        <v>[TestCase(7, 2, 3, 5, 6, 6)]  // outside of points</v>
      </c>
    </row>
    <row r="52" spans="1:9" x14ac:dyDescent="0.3">
      <c r="A52">
        <v>-1</v>
      </c>
      <c r="B52">
        <v>2</v>
      </c>
      <c r="C52">
        <v>3</v>
      </c>
      <c r="D52">
        <v>-2</v>
      </c>
      <c r="E52">
        <v>-3</v>
      </c>
      <c r="F52">
        <f t="shared" si="20"/>
        <v>-0.66666666666666652</v>
      </c>
      <c r="G52" t="s">
        <v>239</v>
      </c>
      <c r="I52" t="str">
        <f t="shared" si="21"/>
        <v>[TestCase(-1, 2, 3, -2, -3, -0.666667)]  // negative slope</v>
      </c>
    </row>
  </sheetData>
  <mergeCells count="6">
    <mergeCell ref="M2:N2"/>
    <mergeCell ref="I2:J2"/>
    <mergeCell ref="G2:H2"/>
    <mergeCell ref="A2:B2"/>
    <mergeCell ref="C2:F2"/>
    <mergeCell ref="K2:L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94319-A7BE-40F1-B4B5-401399411CE5}">
  <sheetPr codeName="Sheet11"/>
  <dimension ref="A1:G45"/>
  <sheetViews>
    <sheetView topLeftCell="A25" workbookViewId="0">
      <selection activeCell="K43" sqref="K43"/>
    </sheetView>
  </sheetViews>
  <sheetFormatPr defaultRowHeight="14.4" x14ac:dyDescent="0.3"/>
  <cols>
    <col min="1" max="1" width="12.33203125" customWidth="1"/>
    <col min="2" max="2" width="12.109375" bestFit="1" customWidth="1"/>
    <col min="3" max="3" width="12.21875" bestFit="1" customWidth="1"/>
    <col min="4" max="4" width="20.21875" bestFit="1" customWidth="1"/>
    <col min="5" max="5" width="19.88671875" customWidth="1"/>
  </cols>
  <sheetData>
    <row r="1" spans="1:5" s="2" customFormat="1" x14ac:dyDescent="0.3">
      <c r="A1" s="2" t="s">
        <v>90</v>
      </c>
    </row>
    <row r="2" spans="1:5" x14ac:dyDescent="0.3">
      <c r="A2" s="6" t="s">
        <v>91</v>
      </c>
      <c r="B2" s="6" t="s">
        <v>92</v>
      </c>
      <c r="C2" s="6" t="s">
        <v>19</v>
      </c>
      <c r="D2" s="6"/>
    </row>
    <row r="3" spans="1:5" x14ac:dyDescent="0.3">
      <c r="A3">
        <v>0</v>
      </c>
      <c r="B3">
        <v>0</v>
      </c>
      <c r="C3">
        <f>A3^2+B3^2</f>
        <v>0</v>
      </c>
      <c r="E3" t="str">
        <f>"[TestCase("&amp;A3&amp;", "&amp;B3&amp;", "&amp;C3&amp;")]"</f>
        <v>[TestCase(0, 0, 0)]</v>
      </c>
    </row>
    <row r="4" spans="1:5" x14ac:dyDescent="0.3">
      <c r="A4">
        <v>1</v>
      </c>
      <c r="B4">
        <v>1</v>
      </c>
      <c r="C4">
        <f t="shared" ref="C4:C8" si="0">A4^2+B4^2</f>
        <v>2</v>
      </c>
      <c r="E4" t="str">
        <f t="shared" ref="E4:E8" si="1">"[TestCase("&amp;A4&amp;", "&amp;B4&amp;", "&amp;C4&amp;")]"</f>
        <v>[TestCase(1, 1, 2)]</v>
      </c>
    </row>
    <row r="5" spans="1:5" x14ac:dyDescent="0.3">
      <c r="A5">
        <v>2</v>
      </c>
      <c r="B5">
        <v>3</v>
      </c>
      <c r="C5">
        <f t="shared" si="0"/>
        <v>13</v>
      </c>
      <c r="E5" t="str">
        <f t="shared" si="1"/>
        <v>[TestCase(2, 3, 13)]</v>
      </c>
    </row>
    <row r="6" spans="1:5" x14ac:dyDescent="0.3">
      <c r="A6">
        <v>-2</v>
      </c>
      <c r="B6">
        <v>3</v>
      </c>
      <c r="C6">
        <f t="shared" si="0"/>
        <v>13</v>
      </c>
      <c r="E6" t="str">
        <f t="shared" si="1"/>
        <v>[TestCase(-2, 3, 13)]</v>
      </c>
    </row>
    <row r="7" spans="1:5" x14ac:dyDescent="0.3">
      <c r="A7">
        <v>2</v>
      </c>
      <c r="B7">
        <v>-3</v>
      </c>
      <c r="C7">
        <f t="shared" si="0"/>
        <v>13</v>
      </c>
      <c r="E7" t="str">
        <f t="shared" si="1"/>
        <v>[TestCase(2, -3, 13)]</v>
      </c>
    </row>
    <row r="8" spans="1:5" x14ac:dyDescent="0.3">
      <c r="A8">
        <v>1.4</v>
      </c>
      <c r="B8">
        <v>-3.5</v>
      </c>
      <c r="C8">
        <f t="shared" si="0"/>
        <v>14.209999999999999</v>
      </c>
      <c r="E8" t="str">
        <f t="shared" si="1"/>
        <v>[TestCase(1.4, -3.5, 14.21)]</v>
      </c>
    </row>
    <row r="10" spans="1:5" s="2" customFormat="1" x14ac:dyDescent="0.3">
      <c r="A10" s="2" t="s">
        <v>93</v>
      </c>
    </row>
    <row r="11" spans="1:5" x14ac:dyDescent="0.3">
      <c r="A11" s="6" t="s">
        <v>91</v>
      </c>
      <c r="B11" s="6" t="s">
        <v>92</v>
      </c>
      <c r="C11" s="6" t="s">
        <v>19</v>
      </c>
    </row>
    <row r="12" spans="1:5" x14ac:dyDescent="0.3">
      <c r="A12">
        <f>A3</f>
        <v>0</v>
      </c>
      <c r="B12">
        <f>B3</f>
        <v>0</v>
      </c>
      <c r="C12">
        <f>SQRT(C3)</f>
        <v>0</v>
      </c>
      <c r="E12" t="str">
        <f>"[TestCase("&amp;A12&amp;", "&amp;B12&amp;", "&amp;ROUND(C12,6)&amp;")]"</f>
        <v>[TestCase(0, 0, 0)]</v>
      </c>
    </row>
    <row r="13" spans="1:5" x14ac:dyDescent="0.3">
      <c r="A13">
        <f t="shared" ref="A13:B13" si="2">A4</f>
        <v>1</v>
      </c>
      <c r="B13">
        <f t="shared" si="2"/>
        <v>1</v>
      </c>
      <c r="C13">
        <f t="shared" ref="C13:C16" si="3">SQRT(C4)</f>
        <v>1.4142135623730951</v>
      </c>
      <c r="E13" t="str">
        <f t="shared" ref="E13:E17" si="4">"[TestCase("&amp;A13&amp;", "&amp;B13&amp;", "&amp;ROUND(C13,6)&amp;")]"</f>
        <v>[TestCase(1, 1, 1.414214)]</v>
      </c>
    </row>
    <row r="14" spans="1:5" x14ac:dyDescent="0.3">
      <c r="A14">
        <f t="shared" ref="A14:B14" si="5">A5</f>
        <v>2</v>
      </c>
      <c r="B14">
        <f t="shared" si="5"/>
        <v>3</v>
      </c>
      <c r="C14">
        <f t="shared" si="3"/>
        <v>3.6055512754639891</v>
      </c>
      <c r="E14" t="str">
        <f t="shared" si="4"/>
        <v>[TestCase(2, 3, 3.605551)]</v>
      </c>
    </row>
    <row r="15" spans="1:5" x14ac:dyDescent="0.3">
      <c r="A15">
        <f t="shared" ref="A15:B15" si="6">A6</f>
        <v>-2</v>
      </c>
      <c r="B15">
        <f t="shared" si="6"/>
        <v>3</v>
      </c>
      <c r="C15">
        <f t="shared" si="3"/>
        <v>3.6055512754639891</v>
      </c>
      <c r="E15" t="str">
        <f t="shared" si="4"/>
        <v>[TestCase(-2, 3, 3.605551)]</v>
      </c>
    </row>
    <row r="16" spans="1:5" x14ac:dyDescent="0.3">
      <c r="A16">
        <f t="shared" ref="A16:B16" si="7">A7</f>
        <v>2</v>
      </c>
      <c r="B16">
        <f t="shared" si="7"/>
        <v>-3</v>
      </c>
      <c r="C16">
        <f t="shared" si="3"/>
        <v>3.6055512754639891</v>
      </c>
      <c r="E16" t="str">
        <f t="shared" si="4"/>
        <v>[TestCase(2, -3, 3.605551)]</v>
      </c>
    </row>
    <row r="17" spans="1:7" x14ac:dyDescent="0.3">
      <c r="A17">
        <f>A8</f>
        <v>1.4</v>
      </c>
      <c r="B17">
        <f>B8</f>
        <v>-3.5</v>
      </c>
      <c r="C17">
        <f>SQRT(C8)</f>
        <v>3.7696153649941526</v>
      </c>
      <c r="E17" t="str">
        <f t="shared" si="4"/>
        <v>[TestCase(1.4, -3.5, 3.769615)]</v>
      </c>
    </row>
    <row r="19" spans="1:7" s="2" customFormat="1" x14ac:dyDescent="0.3">
      <c r="A19" s="2" t="s">
        <v>94</v>
      </c>
    </row>
    <row r="20" spans="1:7" x14ac:dyDescent="0.3">
      <c r="A20" s="6" t="s">
        <v>95</v>
      </c>
      <c r="B20" s="6" t="s">
        <v>97</v>
      </c>
      <c r="C20" s="6" t="s">
        <v>96</v>
      </c>
      <c r="D20" s="6" t="s">
        <v>98</v>
      </c>
      <c r="E20" s="6" t="s">
        <v>19</v>
      </c>
    </row>
    <row r="21" spans="1:7" x14ac:dyDescent="0.3">
      <c r="A21">
        <v>0</v>
      </c>
      <c r="B21">
        <v>0</v>
      </c>
      <c r="C21">
        <v>0</v>
      </c>
      <c r="D21">
        <v>0</v>
      </c>
      <c r="E21">
        <f>0.5*(A21*D21-B21*C21)</f>
        <v>0</v>
      </c>
      <c r="G21" t="str">
        <f>"[TestCase("&amp;A21&amp;", "&amp;B21&amp;", "&amp;C21&amp;", "&amp;D21&amp;", "&amp;E21&amp;")]"</f>
        <v>[TestCase(0, 0, 0, 0, 0)]</v>
      </c>
    </row>
    <row r="22" spans="1:7" x14ac:dyDescent="0.3">
      <c r="A22">
        <v>1</v>
      </c>
      <c r="B22">
        <v>0</v>
      </c>
      <c r="C22">
        <v>0</v>
      </c>
      <c r="D22">
        <v>1</v>
      </c>
      <c r="E22">
        <f>0.5*(A22*D22-B22*C22)</f>
        <v>0.5</v>
      </c>
      <c r="G22" t="str">
        <f t="shared" ref="G22:G33" si="8">"[TestCase("&amp;A22&amp;", "&amp;B22&amp;", "&amp;C22&amp;", "&amp;D22&amp;", "&amp;E22&amp;")]"</f>
        <v>[TestCase(1, 0, 0, 1, 0.5)]</v>
      </c>
    </row>
    <row r="23" spans="1:7" x14ac:dyDescent="0.3">
      <c r="A23">
        <v>-1</v>
      </c>
      <c r="B23">
        <v>0</v>
      </c>
      <c r="C23">
        <v>0</v>
      </c>
      <c r="D23">
        <v>-1</v>
      </c>
      <c r="E23">
        <f>0.5*(A23*D23-B23*C23)</f>
        <v>0.5</v>
      </c>
      <c r="G23" t="str">
        <f t="shared" si="8"/>
        <v>[TestCase(-1, 0, 0, -1, 0.5)]</v>
      </c>
    </row>
    <row r="24" spans="1:7" x14ac:dyDescent="0.3">
      <c r="A24">
        <v>-1</v>
      </c>
      <c r="B24">
        <v>0</v>
      </c>
      <c r="C24">
        <v>0</v>
      </c>
      <c r="D24">
        <v>1</v>
      </c>
      <c r="E24">
        <f>0.5*(A24*D24-B24*C24)</f>
        <v>-0.5</v>
      </c>
      <c r="G24" t="str">
        <f t="shared" si="8"/>
        <v>[TestCase(-1, 0, 0, 1, -0.5)]</v>
      </c>
    </row>
    <row r="25" spans="1:7" x14ac:dyDescent="0.3">
      <c r="A25">
        <v>1</v>
      </c>
      <c r="B25">
        <v>0</v>
      </c>
      <c r="C25">
        <v>0</v>
      </c>
      <c r="D25">
        <v>-1</v>
      </c>
      <c r="E25">
        <f>0.5*(A25*D25-B25*C25)</f>
        <v>-0.5</v>
      </c>
      <c r="G25" t="str">
        <f t="shared" si="8"/>
        <v>[TestCase(1, 0, 0, -1, -0.5)]</v>
      </c>
    </row>
    <row r="26" spans="1:7" x14ac:dyDescent="0.3">
      <c r="A26">
        <v>0</v>
      </c>
      <c r="B26">
        <v>1</v>
      </c>
      <c r="C26">
        <v>1</v>
      </c>
      <c r="D26">
        <v>0</v>
      </c>
      <c r="E26">
        <f t="shared" ref="E26:E33" si="9">0.5*(A26*D26-B26*C26)</f>
        <v>-0.5</v>
      </c>
      <c r="G26" t="str">
        <f t="shared" si="8"/>
        <v>[TestCase(0, 1, 1, 0, -0.5)]</v>
      </c>
    </row>
    <row r="27" spans="1:7" x14ac:dyDescent="0.3">
      <c r="A27">
        <v>0</v>
      </c>
      <c r="B27">
        <v>-1</v>
      </c>
      <c r="C27">
        <v>-1</v>
      </c>
      <c r="D27">
        <v>0</v>
      </c>
      <c r="E27">
        <f t="shared" si="9"/>
        <v>-0.5</v>
      </c>
      <c r="G27" t="str">
        <f t="shared" si="8"/>
        <v>[TestCase(0, -1, -1, 0, -0.5)]</v>
      </c>
    </row>
    <row r="28" spans="1:7" x14ac:dyDescent="0.3">
      <c r="A28">
        <v>0</v>
      </c>
      <c r="B28">
        <v>-1</v>
      </c>
      <c r="C28">
        <v>1</v>
      </c>
      <c r="D28">
        <v>0</v>
      </c>
      <c r="E28">
        <f t="shared" si="9"/>
        <v>0.5</v>
      </c>
      <c r="G28" t="str">
        <f t="shared" si="8"/>
        <v>[TestCase(0, -1, 1, 0, 0.5)]</v>
      </c>
    </row>
    <row r="29" spans="1:7" x14ac:dyDescent="0.3">
      <c r="A29">
        <v>0</v>
      </c>
      <c r="B29">
        <v>1</v>
      </c>
      <c r="C29">
        <v>-1</v>
      </c>
      <c r="D29">
        <v>0</v>
      </c>
      <c r="E29">
        <f t="shared" si="9"/>
        <v>0.5</v>
      </c>
      <c r="G29" t="str">
        <f t="shared" si="8"/>
        <v>[TestCase(0, 1, -1, 0, 0.5)]</v>
      </c>
    </row>
    <row r="30" spans="1:7" x14ac:dyDescent="0.3">
      <c r="A30">
        <v>1</v>
      </c>
      <c r="B30">
        <v>2</v>
      </c>
      <c r="C30">
        <v>3</v>
      </c>
      <c r="D30">
        <v>4</v>
      </c>
      <c r="E30">
        <f t="shared" si="9"/>
        <v>-1</v>
      </c>
      <c r="G30" t="str">
        <f t="shared" si="8"/>
        <v>[TestCase(1, 2, 3, 4, -1)]</v>
      </c>
    </row>
    <row r="31" spans="1:7" x14ac:dyDescent="0.3">
      <c r="A31">
        <v>1</v>
      </c>
      <c r="B31">
        <v>2</v>
      </c>
      <c r="C31">
        <v>-3</v>
      </c>
      <c r="D31">
        <v>4</v>
      </c>
      <c r="E31">
        <f t="shared" si="9"/>
        <v>5</v>
      </c>
      <c r="G31" t="str">
        <f t="shared" si="8"/>
        <v>[TestCase(1, 2, -3, 4, 5)]</v>
      </c>
    </row>
    <row r="32" spans="1:7" x14ac:dyDescent="0.3">
      <c r="A32">
        <v>1</v>
      </c>
      <c r="B32">
        <v>2</v>
      </c>
      <c r="C32">
        <v>-3</v>
      </c>
      <c r="D32">
        <v>-4</v>
      </c>
      <c r="E32">
        <f t="shared" si="9"/>
        <v>1</v>
      </c>
      <c r="G32" t="str">
        <f t="shared" si="8"/>
        <v>[TestCase(1, 2, -3, -4, 1)]</v>
      </c>
    </row>
    <row r="33" spans="1:7" x14ac:dyDescent="0.3">
      <c r="A33">
        <v>1</v>
      </c>
      <c r="B33">
        <v>2</v>
      </c>
      <c r="C33">
        <v>3</v>
      </c>
      <c r="D33">
        <v>-4</v>
      </c>
      <c r="E33">
        <f t="shared" si="9"/>
        <v>-5</v>
      </c>
      <c r="G33" t="str">
        <f t="shared" si="8"/>
        <v>[TestCase(1, 2, 3, -4, -5)]</v>
      </c>
    </row>
    <row r="35" spans="1:7" s="2" customFormat="1" x14ac:dyDescent="0.3">
      <c r="A35" s="2" t="s">
        <v>135</v>
      </c>
    </row>
    <row r="36" spans="1:7" x14ac:dyDescent="0.3">
      <c r="A36" s="6" t="s">
        <v>95</v>
      </c>
      <c r="B36" s="6" t="s">
        <v>97</v>
      </c>
      <c r="C36" s="6" t="s">
        <v>93</v>
      </c>
      <c r="D36" s="6" t="s">
        <v>136</v>
      </c>
      <c r="E36" s="6" t="s">
        <v>137</v>
      </c>
    </row>
    <row r="37" spans="1:7" x14ac:dyDescent="0.3">
      <c r="A37">
        <v>0</v>
      </c>
      <c r="B37">
        <v>0</v>
      </c>
      <c r="C37">
        <f>SQRT(A37^2+B37^2)</f>
        <v>0</v>
      </c>
      <c r="D37" t="e">
        <f>A37/C37</f>
        <v>#DIV/0!</v>
      </c>
      <c r="E37" t="e">
        <f>B37/C37</f>
        <v>#DIV/0!</v>
      </c>
    </row>
    <row r="38" spans="1:7" x14ac:dyDescent="0.3">
      <c r="A38">
        <v>1</v>
      </c>
      <c r="B38">
        <v>0</v>
      </c>
      <c r="C38">
        <f t="shared" ref="C38:C45" si="10">SQRT(A38^2+B38^2)</f>
        <v>1</v>
      </c>
      <c r="D38">
        <f t="shared" ref="D38:D45" si="11">A38/C38</f>
        <v>1</v>
      </c>
      <c r="E38">
        <f t="shared" ref="E38:E45" si="12">B38/C38</f>
        <v>0</v>
      </c>
      <c r="G38" t="str">
        <f>"[TestCase("&amp;A38&amp;", "&amp;B38&amp;", "&amp;ROUND(D38,6)&amp;", "&amp;ROUND(E38,6)&amp;")]"</f>
        <v>[TestCase(1, 0, 1, 0)]</v>
      </c>
    </row>
    <row r="39" spans="1:7" x14ac:dyDescent="0.3">
      <c r="A39">
        <v>1</v>
      </c>
      <c r="B39">
        <v>1</v>
      </c>
      <c r="C39">
        <f t="shared" si="10"/>
        <v>1.4142135623730951</v>
      </c>
      <c r="D39">
        <f t="shared" si="11"/>
        <v>0.70710678118654746</v>
      </c>
      <c r="E39">
        <f t="shared" si="12"/>
        <v>0.70710678118654746</v>
      </c>
      <c r="G39" t="str">
        <f t="shared" ref="G39:G45" si="13">"[TestCase("&amp;A39&amp;", "&amp;B39&amp;", "&amp;ROUND(D39,6)&amp;", "&amp;ROUND(E39,6)&amp;")]"</f>
        <v>[TestCase(1, 1, 0.707107, 0.707107)]</v>
      </c>
    </row>
    <row r="40" spans="1:7" x14ac:dyDescent="0.3">
      <c r="A40">
        <v>0</v>
      </c>
      <c r="B40">
        <v>1</v>
      </c>
      <c r="C40">
        <f t="shared" si="10"/>
        <v>1</v>
      </c>
      <c r="D40">
        <f t="shared" si="11"/>
        <v>0</v>
      </c>
      <c r="E40">
        <f t="shared" si="12"/>
        <v>1</v>
      </c>
      <c r="G40" t="str">
        <f t="shared" si="13"/>
        <v>[TestCase(0, 1, 0, 1)]</v>
      </c>
    </row>
    <row r="41" spans="1:7" x14ac:dyDescent="0.3">
      <c r="A41">
        <v>-1</v>
      </c>
      <c r="B41">
        <v>1</v>
      </c>
      <c r="C41">
        <f t="shared" si="10"/>
        <v>1.4142135623730951</v>
      </c>
      <c r="D41">
        <f t="shared" si="11"/>
        <v>-0.70710678118654746</v>
      </c>
      <c r="E41">
        <f t="shared" si="12"/>
        <v>0.70710678118654746</v>
      </c>
      <c r="G41" t="str">
        <f t="shared" si="13"/>
        <v>[TestCase(-1, 1, -0.707107, 0.707107)]</v>
      </c>
    </row>
    <row r="42" spans="1:7" x14ac:dyDescent="0.3">
      <c r="A42">
        <v>-1</v>
      </c>
      <c r="B42">
        <v>0</v>
      </c>
      <c r="C42">
        <f t="shared" si="10"/>
        <v>1</v>
      </c>
      <c r="D42">
        <f t="shared" si="11"/>
        <v>-1</v>
      </c>
      <c r="E42">
        <f t="shared" si="12"/>
        <v>0</v>
      </c>
      <c r="G42" t="str">
        <f t="shared" si="13"/>
        <v>[TestCase(-1, 0, -1, 0)]</v>
      </c>
    </row>
    <row r="43" spans="1:7" x14ac:dyDescent="0.3">
      <c r="A43">
        <v>-1</v>
      </c>
      <c r="B43">
        <v>-1</v>
      </c>
      <c r="C43">
        <f t="shared" si="10"/>
        <v>1.4142135623730951</v>
      </c>
      <c r="D43">
        <f t="shared" si="11"/>
        <v>-0.70710678118654746</v>
      </c>
      <c r="E43">
        <f t="shared" si="12"/>
        <v>-0.70710678118654746</v>
      </c>
      <c r="G43" t="str">
        <f t="shared" si="13"/>
        <v>[TestCase(-1, -1, -0.707107, -0.707107)]</v>
      </c>
    </row>
    <row r="44" spans="1:7" x14ac:dyDescent="0.3">
      <c r="A44">
        <v>0</v>
      </c>
      <c r="B44">
        <v>-1</v>
      </c>
      <c r="C44">
        <f t="shared" si="10"/>
        <v>1</v>
      </c>
      <c r="D44">
        <f t="shared" si="11"/>
        <v>0</v>
      </c>
      <c r="E44">
        <f t="shared" si="12"/>
        <v>-1</v>
      </c>
      <c r="G44" t="str">
        <f t="shared" si="13"/>
        <v>[TestCase(0, -1, 0, -1)]</v>
      </c>
    </row>
    <row r="45" spans="1:7" x14ac:dyDescent="0.3">
      <c r="A45">
        <v>1</v>
      </c>
      <c r="B45">
        <v>-1</v>
      </c>
      <c r="C45">
        <f t="shared" si="10"/>
        <v>1.4142135623730951</v>
      </c>
      <c r="D45">
        <f t="shared" si="11"/>
        <v>0.70710678118654746</v>
      </c>
      <c r="E45">
        <f t="shared" si="12"/>
        <v>-0.70710678118654746</v>
      </c>
      <c r="G45" t="str">
        <f t="shared" si="13"/>
        <v>[TestCase(1, -1, 0.707107, -0.707107)]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26FBA-2F22-49C8-A893-1AD8FE345BBB}">
  <sheetPr codeName="Sheet14"/>
  <dimension ref="A1:P16"/>
  <sheetViews>
    <sheetView workbookViewId="0">
      <selection activeCell="B39" sqref="B39"/>
    </sheetView>
  </sheetViews>
  <sheetFormatPr defaultRowHeight="14.4" x14ac:dyDescent="0.3"/>
  <sheetData>
    <row r="1" spans="1:16" x14ac:dyDescent="0.3">
      <c r="C1" t="s">
        <v>242</v>
      </c>
      <c r="D1" s="10">
        <v>180</v>
      </c>
      <c r="E1">
        <f>RADIANS(D1)</f>
        <v>3.1415926535897931</v>
      </c>
    </row>
    <row r="2" spans="1:16" x14ac:dyDescent="0.3">
      <c r="J2" s="43" t="s">
        <v>22</v>
      </c>
      <c r="K2" s="43"/>
      <c r="L2" s="43" t="s">
        <v>23</v>
      </c>
      <c r="M2" s="43"/>
    </row>
    <row r="3" spans="1:16" x14ac:dyDescent="0.3">
      <c r="F3" t="s">
        <v>243</v>
      </c>
      <c r="H3" s="43" t="s">
        <v>256</v>
      </c>
      <c r="I3" s="43"/>
      <c r="J3" t="s">
        <v>244</v>
      </c>
      <c r="K3" t="s">
        <v>173</v>
      </c>
      <c r="L3" t="s">
        <v>244</v>
      </c>
      <c r="M3" t="s">
        <v>173</v>
      </c>
    </row>
    <row r="4" spans="1:16" x14ac:dyDescent="0.3">
      <c r="B4" t="s">
        <v>153</v>
      </c>
      <c r="C4" t="s">
        <v>154</v>
      </c>
      <c r="D4" t="s">
        <v>155</v>
      </c>
      <c r="E4" t="s">
        <v>245</v>
      </c>
      <c r="F4" t="s">
        <v>161</v>
      </c>
      <c r="G4" t="s">
        <v>246</v>
      </c>
      <c r="H4" t="s">
        <v>255</v>
      </c>
      <c r="I4" t="s">
        <v>254</v>
      </c>
    </row>
    <row r="5" spans="1:16" x14ac:dyDescent="0.3">
      <c r="A5" t="s">
        <v>247</v>
      </c>
      <c r="B5" s="10">
        <v>2</v>
      </c>
      <c r="C5" s="10">
        <v>2</v>
      </c>
      <c r="D5">
        <f>SQRT(B5^2-C5^2)</f>
        <v>0</v>
      </c>
      <c r="E5" t="e">
        <f>B5^2/$D5</f>
        <v>#DIV/0!</v>
      </c>
      <c r="F5" t="e">
        <f>C5^2/$D5</f>
        <v>#DIV/0!</v>
      </c>
      <c r="G5">
        <f>D5/B5</f>
        <v>0</v>
      </c>
      <c r="H5" s="10">
        <f>B5</f>
        <v>2</v>
      </c>
      <c r="I5" s="55">
        <f>B5</f>
        <v>2</v>
      </c>
      <c r="J5" s="31">
        <f>-$D5+$H5*COS($E$1)</f>
        <v>-2</v>
      </c>
      <c r="K5" s="31">
        <f>$D5+$I5*COS($E$1)</f>
        <v>-2</v>
      </c>
      <c r="L5" s="31">
        <f>$H5*SIN($E$1)</f>
        <v>2.45029690981724E-16</v>
      </c>
      <c r="M5">
        <f>$I5*SIN($E$1)</f>
        <v>2.45029690981724E-16</v>
      </c>
    </row>
    <row r="6" spans="1:16" x14ac:dyDescent="0.3">
      <c r="A6" t="s">
        <v>248</v>
      </c>
      <c r="B6" s="10">
        <v>4</v>
      </c>
      <c r="C6" s="10">
        <v>2</v>
      </c>
      <c r="D6" s="31">
        <f>SQRT(B6^2-C6^2)</f>
        <v>3.4641016151377544</v>
      </c>
      <c r="E6">
        <f>B6^2/$D6</f>
        <v>4.6188021535170067</v>
      </c>
      <c r="F6">
        <f>C6^2/$D6</f>
        <v>1.1547005383792517</v>
      </c>
      <c r="G6" s="31">
        <f>D6/B6</f>
        <v>0.8660254037844386</v>
      </c>
      <c r="H6" s="50">
        <f>G6*F6/(1-G6*COS($E$1))</f>
        <v>0.53589838486224539</v>
      </c>
      <c r="I6" s="53">
        <f>G6*F6/(1+G6*COS($E$1))</f>
        <v>7.4641016151377517</v>
      </c>
      <c r="J6" s="52">
        <f>-$D6+$H6*COS($E$1)</f>
        <v>-4</v>
      </c>
      <c r="K6" s="52">
        <f>$D6+$I6*COS($E$1)</f>
        <v>-3.9999999999999973</v>
      </c>
      <c r="L6" s="47">
        <f>$H6*SIN($E$1)</f>
        <v>6.5655507820200489E-17</v>
      </c>
      <c r="M6">
        <f t="shared" ref="M6:M8" si="0">$I6*SIN($E$1)</f>
        <v>9.1446325610669521E-16</v>
      </c>
      <c r="N6" s="45">
        <f>B6-D6</f>
        <v>0.53589838486224561</v>
      </c>
      <c r="O6" s="46" t="s">
        <v>252</v>
      </c>
      <c r="P6" s="1"/>
    </row>
    <row r="7" spans="1:16" x14ac:dyDescent="0.3">
      <c r="A7" t="s">
        <v>249</v>
      </c>
      <c r="B7" s="10">
        <v>2</v>
      </c>
      <c r="C7" s="10">
        <v>0</v>
      </c>
      <c r="D7">
        <f>B7</f>
        <v>2</v>
      </c>
      <c r="E7">
        <f>-B7</f>
        <v>-2</v>
      </c>
      <c r="F7">
        <f>2*B7</f>
        <v>4</v>
      </c>
      <c r="G7">
        <f>D7/B7</f>
        <v>1</v>
      </c>
      <c r="I7" s="50">
        <f>G7*F7/(1-G7*COS($E$1))</f>
        <v>2</v>
      </c>
      <c r="J7" s="49"/>
      <c r="K7" s="52">
        <f>$B7+$I7*COS($E$1)</f>
        <v>0</v>
      </c>
      <c r="L7" s="47">
        <f>$I7*SIN($E$1)</f>
        <v>2.45029690981724E-16</v>
      </c>
      <c r="M7">
        <f t="shared" si="0"/>
        <v>2.45029690981724E-16</v>
      </c>
      <c r="N7" s="33">
        <f>B7</f>
        <v>2</v>
      </c>
      <c r="O7" s="33" t="s">
        <v>251</v>
      </c>
    </row>
    <row r="8" spans="1:16" x14ac:dyDescent="0.3">
      <c r="A8" t="s">
        <v>250</v>
      </c>
      <c r="B8" s="10">
        <v>2</v>
      </c>
      <c r="C8" s="10">
        <v>4</v>
      </c>
      <c r="D8" s="31">
        <f>SQRT(B8^2+C8^2)</f>
        <v>4.4721359549995796</v>
      </c>
      <c r="E8">
        <f>B8^2/$D8</f>
        <v>0.89442719099991586</v>
      </c>
      <c r="F8">
        <f>C8^2/$D8</f>
        <v>3.5777087639996634</v>
      </c>
      <c r="G8" s="31">
        <f>D8/B8</f>
        <v>2.2360679774997898</v>
      </c>
      <c r="H8" s="54">
        <f>(G8*F8/(1+G8*COS($E$1)))</f>
        <v>-6.4721359549995787</v>
      </c>
      <c r="I8" s="48">
        <f>G8*F8/(1-G8*COS($E$1))</f>
        <v>2.4721359549995792</v>
      </c>
      <c r="J8" s="52">
        <f>-$D8+$H8*COS($E$1)</f>
        <v>1.9999999999999991</v>
      </c>
      <c r="K8" s="52">
        <f>$D8+$I8*COS($E$1)</f>
        <v>2.0000000000000004</v>
      </c>
      <c r="L8" s="47">
        <f>$H8*SIN($E$1)</f>
        <v>-7.9293273652262594E-16</v>
      </c>
      <c r="M8">
        <f t="shared" si="0"/>
        <v>3.0287335455917803E-16</v>
      </c>
      <c r="N8" s="33">
        <f>B8+H8</f>
        <v>-4.4721359549995787</v>
      </c>
      <c r="O8" s="46" t="s">
        <v>253</v>
      </c>
    </row>
    <row r="12" spans="1:16" x14ac:dyDescent="0.3">
      <c r="K12">
        <v>0</v>
      </c>
      <c r="L12">
        <f>COS(K12)</f>
        <v>1</v>
      </c>
      <c r="M12">
        <f>COS(PI()-K12)</f>
        <v>-1</v>
      </c>
    </row>
    <row r="13" spans="1:16" x14ac:dyDescent="0.3">
      <c r="K13">
        <v>45</v>
      </c>
      <c r="L13">
        <f t="shared" ref="L13:L16" si="1">COS(K13)</f>
        <v>0.52532198881772973</v>
      </c>
      <c r="M13">
        <f t="shared" ref="M13:M16" si="2">COS(PI()-K13)</f>
        <v>-0.52532198881773262</v>
      </c>
    </row>
    <row r="14" spans="1:16" x14ac:dyDescent="0.3">
      <c r="K14">
        <v>90</v>
      </c>
      <c r="L14">
        <f t="shared" si="1"/>
        <v>-0.44807361612917013</v>
      </c>
      <c r="M14">
        <f t="shared" si="2"/>
        <v>0.44807361612916707</v>
      </c>
    </row>
    <row r="15" spans="1:16" x14ac:dyDescent="0.3">
      <c r="K15">
        <v>135</v>
      </c>
      <c r="L15">
        <f t="shared" si="1"/>
        <v>-0.99608783514118493</v>
      </c>
      <c r="M15">
        <f t="shared" si="2"/>
        <v>0.99608783514118593</v>
      </c>
    </row>
    <row r="16" spans="1:16" x14ac:dyDescent="0.3">
      <c r="K16">
        <v>270</v>
      </c>
      <c r="L16">
        <f t="shared" si="1"/>
        <v>0.98438195063250489</v>
      </c>
      <c r="M16">
        <f t="shared" si="2"/>
        <v>-0.98438195063250677</v>
      </c>
    </row>
  </sheetData>
  <mergeCells count="3">
    <mergeCell ref="H3:I3"/>
    <mergeCell ref="J2:K2"/>
    <mergeCell ref="L2:M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489-572D-40E9-87E1-A1D3A9E56F10}">
  <sheetPr codeName="Sheet15"/>
  <dimension ref="A1:K116"/>
  <sheetViews>
    <sheetView tabSelected="1" zoomScale="85" zoomScaleNormal="85" workbookViewId="0">
      <selection activeCell="P39" sqref="P39"/>
    </sheetView>
  </sheetViews>
  <sheetFormatPr defaultRowHeight="14.4" x14ac:dyDescent="0.3"/>
  <cols>
    <col min="1" max="1" width="15.5546875" bestFit="1" customWidth="1"/>
  </cols>
  <sheetData>
    <row r="1" spans="1:11" x14ac:dyDescent="0.3">
      <c r="B1" t="s">
        <v>244</v>
      </c>
      <c r="C1" s="56">
        <v>10</v>
      </c>
    </row>
    <row r="2" spans="1:11" ht="15.6" x14ac:dyDescent="0.35">
      <c r="A2" t="s">
        <v>281</v>
      </c>
      <c r="B2" s="57" t="s">
        <v>257</v>
      </c>
      <c r="C2" s="56">
        <v>65</v>
      </c>
      <c r="G2" s="57" t="s">
        <v>258</v>
      </c>
      <c r="H2" s="56">
        <v>5</v>
      </c>
      <c r="I2" t="s">
        <v>285</v>
      </c>
    </row>
    <row r="3" spans="1:11" ht="15.6" x14ac:dyDescent="0.35">
      <c r="A3" t="s">
        <v>283</v>
      </c>
      <c r="B3" s="57" t="s">
        <v>259</v>
      </c>
      <c r="C3" s="56">
        <v>5.7</v>
      </c>
      <c r="G3" s="57" t="s">
        <v>260</v>
      </c>
      <c r="H3" s="56">
        <v>0.1</v>
      </c>
      <c r="I3" t="s">
        <v>286</v>
      </c>
    </row>
    <row r="4" spans="1:11" ht="15.6" x14ac:dyDescent="0.35">
      <c r="A4" t="s">
        <v>282</v>
      </c>
      <c r="B4" s="57" t="s">
        <v>261</v>
      </c>
      <c r="C4" s="56">
        <v>45</v>
      </c>
    </row>
    <row r="5" spans="1:11" ht="15.6" x14ac:dyDescent="0.35">
      <c r="A5" t="s">
        <v>284</v>
      </c>
      <c r="B5" s="57" t="s">
        <v>262</v>
      </c>
      <c r="C5" s="56">
        <v>3.9</v>
      </c>
    </row>
    <row r="6" spans="1:11" x14ac:dyDescent="0.3">
      <c r="B6" s="43" t="s">
        <v>263</v>
      </c>
      <c r="C6" s="43"/>
      <c r="D6" s="43"/>
      <c r="E6" s="43"/>
      <c r="F6" s="43"/>
      <c r="G6" s="43"/>
      <c r="H6" s="43"/>
      <c r="I6" s="43"/>
      <c r="J6" s="43"/>
      <c r="K6" s="43"/>
    </row>
    <row r="7" spans="1:11" x14ac:dyDescent="0.3">
      <c r="B7" s="43" t="s">
        <v>264</v>
      </c>
      <c r="C7" s="43"/>
      <c r="D7" s="43"/>
      <c r="E7" s="43"/>
      <c r="F7" s="43"/>
      <c r="G7" s="43" t="s">
        <v>265</v>
      </c>
      <c r="H7" s="43"/>
      <c r="I7" s="43"/>
      <c r="J7" s="43"/>
      <c r="K7" s="43"/>
    </row>
    <row r="8" spans="1:11" x14ac:dyDescent="0.3">
      <c r="B8" t="s">
        <v>266</v>
      </c>
      <c r="C8" t="s">
        <v>9</v>
      </c>
      <c r="D8" t="s">
        <v>10</v>
      </c>
      <c r="E8" t="s">
        <v>267</v>
      </c>
      <c r="F8" s="57" t="s">
        <v>268</v>
      </c>
      <c r="G8" t="s">
        <v>266</v>
      </c>
      <c r="H8" t="s">
        <v>9</v>
      </c>
      <c r="I8" t="s">
        <v>10</v>
      </c>
      <c r="J8" t="s">
        <v>267</v>
      </c>
      <c r="K8" s="57" t="s">
        <v>268</v>
      </c>
    </row>
    <row r="9" spans="1:11" x14ac:dyDescent="0.3">
      <c r="A9" t="s">
        <v>279</v>
      </c>
      <c r="B9" t="s">
        <v>269</v>
      </c>
      <c r="C9">
        <f>C10-$C$3*COS(RADIANS(C2))</f>
        <v>-2.4089240919219868</v>
      </c>
      <c r="D9">
        <f>D10-$C$3*SIN(RADIANS(C2))</f>
        <v>-5.165954386108905</v>
      </c>
      <c r="E9" s="58">
        <f>E10</f>
        <v>2.1445069205095586</v>
      </c>
      <c r="F9" s="58">
        <f>F10</f>
        <v>65</v>
      </c>
      <c r="G9" t="s">
        <v>270</v>
      </c>
      <c r="H9">
        <f>H10-$C$5*COS(RADIANS(C4))</f>
        <v>7.2422835533724648</v>
      </c>
      <c r="I9">
        <f>I10-$C$5*SIN(RADIANS(C4))</f>
        <v>-2.7577164466275352</v>
      </c>
      <c r="J9" s="58">
        <f>J10</f>
        <v>1</v>
      </c>
      <c r="K9" s="58">
        <f>K10</f>
        <v>45</v>
      </c>
    </row>
    <row r="10" spans="1:11" x14ac:dyDescent="0.3">
      <c r="A10" t="s">
        <v>278</v>
      </c>
      <c r="B10">
        <v>1</v>
      </c>
      <c r="C10" s="10">
        <v>0</v>
      </c>
      <c r="D10" s="10">
        <v>0</v>
      </c>
      <c r="E10">
        <f>(D11-D9)/(C11-C9)</f>
        <v>2.1445069205095586</v>
      </c>
      <c r="F10" s="58">
        <f>C2</f>
        <v>65</v>
      </c>
      <c r="G10">
        <v>2</v>
      </c>
      <c r="H10">
        <f>C1</f>
        <v>10</v>
      </c>
      <c r="I10" s="10">
        <v>0</v>
      </c>
      <c r="J10">
        <f>(I11-I9)/(H11-H9)</f>
        <v>1</v>
      </c>
      <c r="K10" s="58">
        <f>C4</f>
        <v>45</v>
      </c>
    </row>
    <row r="11" spans="1:11" x14ac:dyDescent="0.3">
      <c r="A11" t="s">
        <v>280</v>
      </c>
      <c r="B11" t="s">
        <v>271</v>
      </c>
      <c r="C11">
        <f>C10+$C$3*COS(RADIANS(C2))</f>
        <v>2.4089240919219868</v>
      </c>
      <c r="D11">
        <f>D10+$C$3*SIN(RADIANS(C2))</f>
        <v>5.165954386108905</v>
      </c>
      <c r="E11" s="58">
        <f>E10</f>
        <v>2.1445069205095586</v>
      </c>
      <c r="F11" s="58">
        <f>F10</f>
        <v>65</v>
      </c>
      <c r="G11" t="s">
        <v>272</v>
      </c>
      <c r="H11">
        <f>H10+$C$5*COS(RADIANS(C4))</f>
        <v>12.757716446627535</v>
      </c>
      <c r="I11">
        <f>I10+$C$5*SIN(RADIANS(C4))</f>
        <v>2.7577164466275352</v>
      </c>
      <c r="J11" s="58">
        <f>J10</f>
        <v>1</v>
      </c>
      <c r="K11" s="58">
        <f>K10</f>
        <v>45</v>
      </c>
    </row>
    <row r="14" spans="1:11" x14ac:dyDescent="0.3">
      <c r="A14" t="s">
        <v>273</v>
      </c>
      <c r="B14" s="10">
        <v>0.01</v>
      </c>
      <c r="F14" s="57"/>
      <c r="G14" t="s">
        <v>277</v>
      </c>
    </row>
    <row r="15" spans="1:11" x14ac:dyDescent="0.3">
      <c r="A15" t="s">
        <v>165</v>
      </c>
      <c r="B15" t="s">
        <v>22</v>
      </c>
      <c r="C15" t="s">
        <v>23</v>
      </c>
      <c r="D15" t="s">
        <v>267</v>
      </c>
      <c r="E15" s="57" t="s">
        <v>268</v>
      </c>
      <c r="G15" t="s">
        <v>274</v>
      </c>
      <c r="H15" t="s">
        <v>22</v>
      </c>
      <c r="I15" s="57" t="s">
        <v>23</v>
      </c>
    </row>
    <row r="16" spans="1:11" x14ac:dyDescent="0.3">
      <c r="A16">
        <v>0</v>
      </c>
      <c r="B16">
        <f>H$16*(1-$A16)^3+H$17*3*$A16*(1-$A16)^2+H$18*3*$A16^2*(1-$A16)+H$19*$A16^3</f>
        <v>0</v>
      </c>
      <c r="C16">
        <f>I$16*(1-$A16)^3+I$17*3*$A16*(1-$A16)^2+I$18*3*$A16^2*(1-$A16)+I$19*$A16^3</f>
        <v>0</v>
      </c>
      <c r="D16">
        <f>E$10-(2*(2*E$10+I$10)/C$1)*B16+3*((I$10+E$10)/C$1^2)*B16^2</f>
        <v>2.1445069205095586</v>
      </c>
      <c r="E16">
        <f>DEGREES(ATAN(D16))</f>
        <v>65</v>
      </c>
      <c r="G16">
        <v>0</v>
      </c>
      <c r="H16">
        <v>0</v>
      </c>
      <c r="I16">
        <v>0</v>
      </c>
      <c r="J16" t="s">
        <v>275</v>
      </c>
    </row>
    <row r="17" spans="1:10" x14ac:dyDescent="0.3">
      <c r="A17">
        <f>A16+B$14</f>
        <v>0.01</v>
      </c>
      <c r="B17">
        <f t="shared" ref="B16:C47" si="0">H$16*(1-$A17)^3+H$17*3*$A17*(1-$A17)^2+H$18*3*$A17^2*(1-$A17)+H$19*$A17^3</f>
        <v>7.2990553290133778E-2</v>
      </c>
      <c r="C17">
        <f t="shared" si="0"/>
        <v>0.15107551503011177</v>
      </c>
      <c r="D17">
        <f t="shared" ref="D17:D80" si="1">E$10-(2*(2*E$10+I$10)/C$1)*B17+3*((I$10+E$10)/C$1^2)*B17^2</f>
        <v>2.0822381754392945</v>
      </c>
      <c r="E17">
        <f t="shared" ref="E17:E80" si="2">DEGREES(ATAN(D17))</f>
        <v>64.347239217090177</v>
      </c>
      <c r="G17">
        <v>1</v>
      </c>
      <c r="H17">
        <f>C10+$C$3*COS(RADIANS(C2))</f>
        <v>2.4089240919219868</v>
      </c>
      <c r="I17">
        <f>D10+$C$3*SIN(RADIANS(C2))</f>
        <v>5.165954386108905</v>
      </c>
      <c r="J17" t="s">
        <v>276</v>
      </c>
    </row>
    <row r="18" spans="1:10" x14ac:dyDescent="0.3">
      <c r="A18">
        <f t="shared" ref="A18:A81" si="3">A17+B$14</f>
        <v>0.02</v>
      </c>
      <c r="B18">
        <f t="shared" si="0"/>
        <v>0.14740876733167854</v>
      </c>
      <c r="C18">
        <f t="shared" si="0"/>
        <v>0.29443988100390556</v>
      </c>
      <c r="D18">
        <f t="shared" si="1"/>
        <v>2.0194572337366652</v>
      </c>
      <c r="E18">
        <f t="shared" si="2"/>
        <v>63.65618929854012</v>
      </c>
      <c r="G18">
        <v>2</v>
      </c>
      <c r="H18">
        <f>H10-$C$5*COS(RADIANS(C4))</f>
        <v>7.2422835533724648</v>
      </c>
      <c r="I18">
        <f>I10-$C$5*SIN(RADIANS(C4))</f>
        <v>-2.7577164466275352</v>
      </c>
      <c r="J18" t="s">
        <v>276</v>
      </c>
    </row>
    <row r="19" spans="1:10" x14ac:dyDescent="0.3">
      <c r="A19">
        <f t="shared" si="3"/>
        <v>0.03</v>
      </c>
      <c r="B19">
        <f t="shared" si="0"/>
        <v>0.22322764165432821</v>
      </c>
      <c r="C19">
        <f t="shared" si="0"/>
        <v>0.43023572399637067</v>
      </c>
      <c r="D19">
        <f t="shared" si="1"/>
        <v>1.9562274922686618</v>
      </c>
      <c r="E19">
        <f t="shared" si="2"/>
        <v>62.924427385644712</v>
      </c>
      <c r="G19">
        <v>3</v>
      </c>
      <c r="H19">
        <v>10</v>
      </c>
      <c r="I19">
        <v>0</v>
      </c>
      <c r="J19" t="s">
        <v>275</v>
      </c>
    </row>
    <row r="20" spans="1:10" x14ac:dyDescent="0.3">
      <c r="A20">
        <f t="shared" si="3"/>
        <v>0.04</v>
      </c>
      <c r="B20">
        <f t="shared" si="0"/>
        <v>0.30042017578777658</v>
      </c>
      <c r="C20">
        <f t="shared" si="0"/>
        <v>0.5586056700824964</v>
      </c>
      <c r="D20">
        <f t="shared" si="1"/>
        <v>1.8926120613960578</v>
      </c>
      <c r="E20">
        <f t="shared" si="2"/>
        <v>62.149357407609017</v>
      </c>
    </row>
    <row r="21" spans="1:10" x14ac:dyDescent="0.3">
      <c r="A21">
        <f t="shared" si="3"/>
        <v>0.05</v>
      </c>
      <c r="B21">
        <f t="shared" si="0"/>
        <v>0.37895936926171775</v>
      </c>
      <c r="C21">
        <f t="shared" si="0"/>
        <v>0.67969234533727185</v>
      </c>
      <c r="D21">
        <f t="shared" si="1"/>
        <v>1.8286737167812248</v>
      </c>
      <c r="E21">
        <f t="shared" si="2"/>
        <v>61.328202698159721</v>
      </c>
      <c r="G21" s="51">
        <v>3</v>
      </c>
      <c r="H21" s="33"/>
    </row>
    <row r="22" spans="1:10" x14ac:dyDescent="0.3">
      <c r="A22">
        <f t="shared" si="3"/>
        <v>6.0000000000000005E-2</v>
      </c>
      <c r="B22">
        <f t="shared" si="0"/>
        <v>0.45881822160584546</v>
      </c>
      <c r="C22">
        <f t="shared" si="0"/>
        <v>0.79363837583568653</v>
      </c>
      <c r="D22">
        <f t="shared" si="1"/>
        <v>1.7644748521339899</v>
      </c>
      <c r="E22">
        <f t="shared" si="2"/>
        <v>60.458000004149639</v>
      </c>
      <c r="G22" s="33">
        <v>0</v>
      </c>
      <c r="H22" s="33">
        <f>MOD((G22-1+G$21),G$21)</f>
        <v>2</v>
      </c>
    </row>
    <row r="23" spans="1:10" x14ac:dyDescent="0.3">
      <c r="A23">
        <f t="shared" si="3"/>
        <v>7.0000000000000007E-2</v>
      </c>
      <c r="B23">
        <f t="shared" si="0"/>
        <v>0.53996973234985357</v>
      </c>
      <c r="C23">
        <f t="shared" si="0"/>
        <v>0.90058638765272936</v>
      </c>
      <c r="D23">
        <f t="shared" si="1"/>
        <v>1.700077432895533</v>
      </c>
      <c r="E23">
        <f t="shared" si="2"/>
        <v>59.535595550458403</v>
      </c>
      <c r="G23" s="33">
        <v>1</v>
      </c>
      <c r="H23" s="33">
        <f>MOD((G23-1+G$21),G$21)</f>
        <v>0</v>
      </c>
    </row>
    <row r="24" spans="1:10" x14ac:dyDescent="0.3">
      <c r="A24">
        <f t="shared" si="3"/>
        <v>0.08</v>
      </c>
      <c r="B24">
        <f t="shared" si="0"/>
        <v>0.62238690102343586</v>
      </c>
      <c r="C24">
        <f t="shared" si="0"/>
        <v>1.0006790068633897</v>
      </c>
      <c r="D24">
        <f t="shared" si="1"/>
        <v>1.6355429508603212</v>
      </c>
      <c r="E24">
        <f t="shared" si="2"/>
        <v>58.557644007677077</v>
      </c>
      <c r="G24" s="33">
        <v>2</v>
      </c>
      <c r="H24" s="33">
        <f>MOD((G24-1+G$21),G$21)</f>
        <v>1</v>
      </c>
    </row>
    <row r="25" spans="1:10" x14ac:dyDescent="0.3">
      <c r="A25">
        <f t="shared" si="3"/>
        <v>0.09</v>
      </c>
      <c r="B25">
        <f t="shared" si="0"/>
        <v>0.70604272715628658</v>
      </c>
      <c r="C25">
        <f t="shared" si="0"/>
        <v>1.094058859542657</v>
      </c>
      <c r="D25">
        <f t="shared" si="1"/>
        <v>1.5709323797360875</v>
      </c>
      <c r="E25">
        <f t="shared" si="2"/>
        <v>57.520611427124976</v>
      </c>
    </row>
    <row r="26" spans="1:10" x14ac:dyDescent="0.3">
      <c r="A26">
        <f t="shared" si="3"/>
        <v>9.9999999999999992E-2</v>
      </c>
      <c r="B26">
        <f t="shared" si="0"/>
        <v>0.79091021027809916</v>
      </c>
      <c r="C26">
        <f t="shared" si="0"/>
        <v>1.1808685717655205</v>
      </c>
      <c r="D26">
        <f t="shared" si="1"/>
        <v>1.5063061316418471</v>
      </c>
      <c r="E26">
        <f t="shared" si="2"/>
        <v>56.420783463533425</v>
      </c>
    </row>
    <row r="27" spans="1:10" x14ac:dyDescent="0.3">
      <c r="A27">
        <f t="shared" si="3"/>
        <v>0.10999999999999999</v>
      </c>
      <c r="B27">
        <f t="shared" si="0"/>
        <v>0.87696234991856803</v>
      </c>
      <c r="C27">
        <f t="shared" si="0"/>
        <v>1.261250769606969</v>
      </c>
      <c r="D27">
        <f t="shared" si="1"/>
        <v>1.4417240145439527</v>
      </c>
      <c r="E27">
        <f t="shared" si="2"/>
        <v>55.254280498076</v>
      </c>
    </row>
    <row r="28" spans="1:10" x14ac:dyDescent="0.3">
      <c r="A28">
        <f t="shared" si="3"/>
        <v>0.11999999999999998</v>
      </c>
      <c r="B28">
        <f>H$16*(1-$A28)^3+H$17*3*$A28*(1-$A28)^2+H$18*3*$A28^2*(1-$A28)+H$19*$A28^3</f>
        <v>0.9641721456073864</v>
      </c>
      <c r="C28">
        <f t="shared" si="0"/>
        <v>1.3353480791419925</v>
      </c>
      <c r="D28">
        <f t="shared" si="1"/>
        <v>1.3772451906301932</v>
      </c>
      <c r="E28">
        <f t="shared" si="2"/>
        <v>54.017081597079546</v>
      </c>
    </row>
    <row r="29" spans="1:10" x14ac:dyDescent="0.3">
      <c r="A29">
        <f t="shared" si="3"/>
        <v>0.12999999999999998</v>
      </c>
      <c r="B29">
        <f t="shared" si="0"/>
        <v>1.052512596874249</v>
      </c>
      <c r="C29">
        <f t="shared" si="0"/>
        <v>1.4033031264455798</v>
      </c>
      <c r="D29">
        <f t="shared" si="1"/>
        <v>1.3129281356219282</v>
      </c>
      <c r="E29">
        <f t="shared" si="2"/>
        <v>52.705059580509776</v>
      </c>
    </row>
    <row r="30" spans="1:10" x14ac:dyDescent="0.3">
      <c r="A30">
        <f t="shared" si="3"/>
        <v>0.13999999999999999</v>
      </c>
      <c r="B30">
        <f t="shared" si="0"/>
        <v>1.1419567032488489</v>
      </c>
      <c r="C30">
        <f t="shared" si="0"/>
        <v>1.4652585375927201</v>
      </c>
      <c r="D30">
        <f t="shared" si="1"/>
        <v>1.2488305990242667</v>
      </c>
      <c r="E30">
        <f t="shared" si="2"/>
        <v>51.314029803251145</v>
      </c>
    </row>
    <row r="31" spans="1:10" x14ac:dyDescent="0.3">
      <c r="A31">
        <f t="shared" si="3"/>
        <v>0.15</v>
      </c>
      <c r="B31">
        <f t="shared" si="0"/>
        <v>1.2324774642608809</v>
      </c>
      <c r="C31">
        <f t="shared" si="0"/>
        <v>1.5213569386584027</v>
      </c>
      <c r="D31">
        <f t="shared" si="1"/>
        <v>1.1850095653142818</v>
      </c>
      <c r="E31">
        <f t="shared" si="2"/>
        <v>49.839815528986797</v>
      </c>
    </row>
    <row r="32" spans="1:10" x14ac:dyDescent="0.3">
      <c r="A32">
        <f t="shared" si="3"/>
        <v>0.16</v>
      </c>
      <c r="B32">
        <f t="shared" si="0"/>
        <v>1.3240478794400381</v>
      </c>
      <c r="C32">
        <f t="shared" si="0"/>
        <v>1.5717409557176172</v>
      </c>
      <c r="D32">
        <f t="shared" si="1"/>
        <v>1.1215212160672694</v>
      </c>
      <c r="E32">
        <f t="shared" si="2"/>
        <v>48.278332937313799</v>
      </c>
    </row>
    <row r="33" spans="1:5" x14ac:dyDescent="0.3">
      <c r="A33">
        <f t="shared" si="3"/>
        <v>0.17</v>
      </c>
      <c r="B33">
        <f t="shared" si="0"/>
        <v>1.4166409483160149</v>
      </c>
      <c r="C33">
        <f t="shared" si="0"/>
        <v>1.6165532148453525</v>
      </c>
      <c r="D33">
        <f t="shared" si="1"/>
        <v>1.0584208930210433</v>
      </c>
      <c r="E33">
        <f t="shared" si="2"/>
        <v>46.625698759507422</v>
      </c>
    </row>
    <row r="34" spans="1:5" x14ac:dyDescent="0.3">
      <c r="A34">
        <f t="shared" si="3"/>
        <v>0.18000000000000002</v>
      </c>
      <c r="B34">
        <f t="shared" si="0"/>
        <v>1.5102296704185043</v>
      </c>
      <c r="C34">
        <f t="shared" si="0"/>
        <v>1.6559363421165978</v>
      </c>
      <c r="D34">
        <f t="shared" si="1"/>
        <v>0.9957630620782727</v>
      </c>
      <c r="E34">
        <f t="shared" si="2"/>
        <v>44.878363168011148</v>
      </c>
    </row>
    <row r="35" spans="1:5" x14ac:dyDescent="0.3">
      <c r="A35">
        <f t="shared" si="3"/>
        <v>0.19000000000000003</v>
      </c>
      <c r="B35">
        <f t="shared" si="0"/>
        <v>1.6047870452772015</v>
      </c>
      <c r="C35">
        <f t="shared" si="0"/>
        <v>1.6900329636063427</v>
      </c>
      <c r="D35">
        <f t="shared" si="1"/>
        <v>0.93360127824685746</v>
      </c>
      <c r="E35">
        <f t="shared" si="2"/>
        <v>43.033269703419251</v>
      </c>
    </row>
    <row r="36" spans="1:5" x14ac:dyDescent="0.3">
      <c r="A36">
        <f t="shared" si="3"/>
        <v>0.20000000000000004</v>
      </c>
      <c r="B36">
        <f t="shared" si="0"/>
        <v>1.7002860724217999</v>
      </c>
      <c r="C36">
        <f t="shared" si="0"/>
        <v>1.7189857053895763</v>
      </c>
      <c r="D36">
        <f t="shared" si="1"/>
        <v>0.87198815151834719</v>
      </c>
      <c r="E36">
        <f t="shared" si="2"/>
        <v>41.088042548896631</v>
      </c>
    </row>
    <row r="37" spans="1:5" x14ac:dyDescent="0.3">
      <c r="A37">
        <f t="shared" si="3"/>
        <v>0.21000000000000005</v>
      </c>
      <c r="B37">
        <f t="shared" si="0"/>
        <v>1.7966997513819927</v>
      </c>
      <c r="C37">
        <f t="shared" si="0"/>
        <v>1.7429371935412874</v>
      </c>
      <c r="D37">
        <f t="shared" si="1"/>
        <v>0.81097531368439668</v>
      </c>
      <c r="E37">
        <f t="shared" si="2"/>
        <v>39.041199203392559</v>
      </c>
    </row>
    <row r="38" spans="1:5" x14ac:dyDescent="0.3">
      <c r="A38">
        <f t="shared" si="3"/>
        <v>0.22000000000000006</v>
      </c>
      <c r="B38">
        <f t="shared" si="0"/>
        <v>1.8940010816874746</v>
      </c>
      <c r="C38">
        <f t="shared" si="0"/>
        <v>1.7620300541364657</v>
      </c>
      <c r="D38">
        <f t="shared" si="1"/>
        <v>0.75061338609126149</v>
      </c>
      <c r="E38">
        <f t="shared" si="2"/>
        <v>36.892383462209949</v>
      </c>
    </row>
    <row r="39" spans="1:5" x14ac:dyDescent="0.3">
      <c r="A39">
        <f t="shared" si="3"/>
        <v>0.23000000000000007</v>
      </c>
      <c r="B39">
        <f t="shared" si="0"/>
        <v>1.9921630628679392</v>
      </c>
      <c r="C39">
        <f t="shared" si="0"/>
        <v>1.776406913250101</v>
      </c>
      <c r="D39">
        <f t="shared" si="1"/>
        <v>0.69095194833233653</v>
      </c>
      <c r="E39">
        <f t="shared" si="2"/>
        <v>34.642609603721205</v>
      </c>
    </row>
    <row r="40" spans="1:5" x14ac:dyDescent="0.3">
      <c r="A40">
        <f t="shared" si="3"/>
        <v>0.24000000000000007</v>
      </c>
      <c r="B40">
        <f t="shared" si="0"/>
        <v>2.09115869445308</v>
      </c>
      <c r="C40">
        <f t="shared" si="0"/>
        <v>1.7862103969571816</v>
      </c>
      <c r="D40">
        <f t="shared" si="1"/>
        <v>0.6320395078787322</v>
      </c>
      <c r="E40">
        <f t="shared" si="2"/>
        <v>32.294504017262831</v>
      </c>
    </row>
    <row r="41" spans="1:5" x14ac:dyDescent="0.3">
      <c r="A41">
        <f t="shared" si="3"/>
        <v>0.25000000000000006</v>
      </c>
      <c r="B41">
        <f t="shared" si="0"/>
        <v>2.1909609759725917</v>
      </c>
      <c r="C41">
        <f t="shared" si="0"/>
        <v>1.7915831313326973</v>
      </c>
      <c r="D41">
        <f t="shared" si="1"/>
        <v>0.57392347064788973</v>
      </c>
      <c r="E41">
        <f t="shared" si="2"/>
        <v>29.852525675551576</v>
      </c>
    </row>
    <row r="42" spans="1:5" x14ac:dyDescent="0.3">
      <c r="A42">
        <f t="shared" si="3"/>
        <v>0.26000000000000006</v>
      </c>
      <c r="B42">
        <f t="shared" si="0"/>
        <v>2.2915429069561672</v>
      </c>
      <c r="C42">
        <f t="shared" si="0"/>
        <v>1.7926677424516373</v>
      </c>
      <c r="D42">
        <f t="shared" si="1"/>
        <v>0.51665011251024051</v>
      </c>
      <c r="E42">
        <f t="shared" si="2"/>
        <v>27.323142657865084</v>
      </c>
    </row>
    <row r="43" spans="1:5" x14ac:dyDescent="0.3">
      <c r="A43">
        <f t="shared" si="3"/>
        <v>0.27000000000000007</v>
      </c>
      <c r="B43">
        <f t="shared" si="0"/>
        <v>2.3928774869335019</v>
      </c>
      <c r="C43">
        <f t="shared" si="0"/>
        <v>1.7896068563889904</v>
      </c>
      <c r="D43">
        <f t="shared" si="1"/>
        <v>0.46026455173389974</v>
      </c>
      <c r="E43">
        <f t="shared" si="2"/>
        <v>24.714939451343088</v>
      </c>
    </row>
    <row r="44" spans="1:5" x14ac:dyDescent="0.3">
      <c r="A44">
        <f t="shared" si="3"/>
        <v>0.28000000000000008</v>
      </c>
      <c r="B44">
        <f t="shared" si="0"/>
        <v>2.494937715434288</v>
      </c>
      <c r="C44">
        <f t="shared" si="0"/>
        <v>1.7825430992197462</v>
      </c>
      <c r="D44">
        <f t="shared" si="1"/>
        <v>0.40481072236740695</v>
      </c>
      <c r="E44">
        <f t="shared" si="2"/>
        <v>22.038630203496783</v>
      </c>
    </row>
    <row r="45" spans="1:5" x14ac:dyDescent="0.3">
      <c r="A45">
        <f t="shared" si="3"/>
        <v>0.29000000000000009</v>
      </c>
      <c r="B45">
        <f t="shared" si="0"/>
        <v>2.5976965919882211</v>
      </c>
      <c r="C45">
        <f t="shared" si="0"/>
        <v>1.7716190970188945</v>
      </c>
      <c r="D45">
        <f t="shared" si="1"/>
        <v>0.35033134856049764</v>
      </c>
      <c r="E45">
        <f t="shared" si="2"/>
        <v>19.306957499614565</v>
      </c>
    </row>
    <row r="46" spans="1:5" x14ac:dyDescent="0.3">
      <c r="A46">
        <f t="shared" si="3"/>
        <v>0.3000000000000001</v>
      </c>
      <c r="B46">
        <f t="shared" si="0"/>
        <v>2.7011271161249937</v>
      </c>
      <c r="C46">
        <f t="shared" si="0"/>
        <v>1.7569774758614234</v>
      </c>
      <c r="D46">
        <f t="shared" si="1"/>
        <v>0.29686791982292582</v>
      </c>
      <c r="E46">
        <f t="shared" si="2"/>
        <v>16.534465049618593</v>
      </c>
    </row>
    <row r="47" spans="1:5" x14ac:dyDescent="0.3">
      <c r="A47">
        <f t="shared" si="3"/>
        <v>0.31000000000000011</v>
      </c>
      <c r="B47">
        <f t="shared" si="0"/>
        <v>2.8052022873742994</v>
      </c>
      <c r="C47">
        <f t="shared" si="0"/>
        <v>1.7387608618223225</v>
      </c>
      <c r="D47">
        <f t="shared" si="1"/>
        <v>0.24446066722131587</v>
      </c>
      <c r="E47">
        <f t="shared" si="2"/>
        <v>13.737145390275982</v>
      </c>
    </row>
    <row r="48" spans="1:5" x14ac:dyDescent="0.3">
      <c r="A48">
        <f t="shared" si="3"/>
        <v>0.32000000000000012</v>
      </c>
      <c r="B48">
        <f t="shared" ref="B48:C79" si="4">H$16*(1-$A48)^3+H$17*3*$A48*(1-$A48)^2+H$18*3*$A48^2*(1-$A48)+H$19*$A48^3</f>
        <v>2.9098951052658335</v>
      </c>
      <c r="C48">
        <f t="shared" si="4"/>
        <v>1.717111880976582</v>
      </c>
      <c r="D48">
        <f t="shared" si="1"/>
        <v>0.19314854051406238</v>
      </c>
      <c r="E48">
        <f t="shared" si="2"/>
        <v>10.931978699944938</v>
      </c>
    </row>
    <row r="49" spans="1:5" x14ac:dyDescent="0.3">
      <c r="A49">
        <f t="shared" si="3"/>
        <v>0.33000000000000013</v>
      </c>
      <c r="B49">
        <f t="shared" si="4"/>
        <v>3.0151785693292883</v>
      </c>
      <c r="C49">
        <f t="shared" si="4"/>
        <v>1.6921731593991902</v>
      </c>
      <c r="D49">
        <f t="shared" si="1"/>
        <v>0.14296918622426547</v>
      </c>
      <c r="E49">
        <f t="shared" si="2"/>
        <v>8.1363934752651108</v>
      </c>
    </row>
    <row r="50" spans="1:5" x14ac:dyDescent="0.3">
      <c r="A50">
        <f t="shared" si="3"/>
        <v>0.34000000000000014</v>
      </c>
      <c r="B50">
        <f t="shared" si="4"/>
        <v>3.1210256790943602</v>
      </c>
      <c r="C50">
        <f t="shared" si="4"/>
        <v>1.6640873231651363</v>
      </c>
      <c r="D50">
        <f t="shared" si="1"/>
        <v>9.3958926650706598E-2</v>
      </c>
      <c r="E50">
        <f t="shared" si="2"/>
        <v>5.3676911337630946</v>
      </c>
    </row>
    <row r="51" spans="1:5" x14ac:dyDescent="0.3">
      <c r="A51">
        <f t="shared" si="3"/>
        <v>0.35000000000000014</v>
      </c>
      <c r="B51">
        <f t="shared" si="4"/>
        <v>3.2274094340907404</v>
      </c>
      <c r="C51">
        <f t="shared" si="4"/>
        <v>1.6329969983494106</v>
      </c>
      <c r="D51">
        <f t="shared" si="1"/>
        <v>4.6152739816869404E-2</v>
      </c>
      <c r="E51">
        <f t="shared" si="2"/>
        <v>2.6424820403636189</v>
      </c>
    </row>
    <row r="52" spans="1:5" x14ac:dyDescent="0.3">
      <c r="A52">
        <f t="shared" si="3"/>
        <v>0.36000000000000015</v>
      </c>
      <c r="B52">
        <f t="shared" si="4"/>
        <v>3.3343028338481244</v>
      </c>
      <c r="C52">
        <f t="shared" si="4"/>
        <v>1.599044811027001</v>
      </c>
      <c r="D52">
        <f t="shared" si="1"/>
        <v>-4.1575964200946114E-4</v>
      </c>
      <c r="E52">
        <f t="shared" si="2"/>
        <v>-2.3821271406461657E-2</v>
      </c>
    </row>
    <row r="53" spans="1:5" x14ac:dyDescent="0.3">
      <c r="A53">
        <f t="shared" si="3"/>
        <v>0.37000000000000016</v>
      </c>
      <c r="B53">
        <f t="shared" si="4"/>
        <v>3.4416788778962055</v>
      </c>
      <c r="C53">
        <f t="shared" si="4"/>
        <v>1.5623733872728975</v>
      </c>
      <c r="D53">
        <f t="shared" si="1"/>
        <v>-4.5714338653837561E-2</v>
      </c>
      <c r="E53">
        <f t="shared" si="2"/>
        <v>-2.6174163901517398</v>
      </c>
    </row>
    <row r="54" spans="1:5" x14ac:dyDescent="0.3">
      <c r="A54">
        <f t="shared" si="3"/>
        <v>0.38000000000000017</v>
      </c>
      <c r="B54">
        <f t="shared" si="4"/>
        <v>3.5495105657646775</v>
      </c>
      <c r="C54">
        <f t="shared" si="4"/>
        <v>1.5231253531620896</v>
      </c>
      <c r="D54">
        <f t="shared" si="1"/>
        <v>-8.971216294653539E-2</v>
      </c>
      <c r="E54">
        <f t="shared" si="2"/>
        <v>-5.1264048002135549</v>
      </c>
    </row>
    <row r="55" spans="1:5" x14ac:dyDescent="0.3">
      <c r="A55">
        <f t="shared" si="3"/>
        <v>0.39000000000000018</v>
      </c>
      <c r="B55">
        <f t="shared" si="4"/>
        <v>3.6577708969832345</v>
      </c>
      <c r="C55">
        <f t="shared" si="4"/>
        <v>1.4814433347695661</v>
      </c>
      <c r="D55">
        <f t="shared" si="1"/>
        <v>-0.13237981334685478</v>
      </c>
      <c r="E55">
        <f t="shared" si="2"/>
        <v>-7.5409582897680361</v>
      </c>
    </row>
    <row r="56" spans="1:5" x14ac:dyDescent="0.3">
      <c r="A56">
        <f t="shared" si="3"/>
        <v>0.40000000000000019</v>
      </c>
      <c r="B56">
        <f t="shared" si="4"/>
        <v>3.7664328710815695</v>
      </c>
      <c r="C56">
        <f t="shared" si="4"/>
        <v>1.4374699581703165</v>
      </c>
      <c r="D56">
        <f t="shared" si="1"/>
        <v>-0.17368930114116543</v>
      </c>
      <c r="E56">
        <f t="shared" si="2"/>
        <v>-9.8533633337264064</v>
      </c>
    </row>
    <row r="57" spans="1:5" x14ac:dyDescent="0.3">
      <c r="A57">
        <f t="shared" si="3"/>
        <v>0.4100000000000002</v>
      </c>
      <c r="B57">
        <f t="shared" si="4"/>
        <v>3.8754694875893789</v>
      </c>
      <c r="C57">
        <f t="shared" si="4"/>
        <v>1.3913478494393297</v>
      </c>
      <c r="D57">
        <f t="shared" si="1"/>
        <v>-0.21361408249819713</v>
      </c>
      <c r="E57">
        <f t="shared" si="2"/>
        <v>-12.057959790887169</v>
      </c>
    </row>
    <row r="58" spans="1:5" x14ac:dyDescent="0.3">
      <c r="A58">
        <f t="shared" si="3"/>
        <v>0.42000000000000021</v>
      </c>
      <c r="B58">
        <f t="shared" si="4"/>
        <v>3.9848537460363542</v>
      </c>
      <c r="C58">
        <f t="shared" si="4"/>
        <v>1.343219634651595</v>
      </c>
      <c r="D58">
        <f t="shared" si="1"/>
        <v>-0.25212907195374235</v>
      </c>
      <c r="E58">
        <f t="shared" si="2"/>
        <v>-14.150996968636994</v>
      </c>
    </row>
    <row r="59" spans="1:5" x14ac:dyDescent="0.3">
      <c r="A59">
        <f t="shared" si="3"/>
        <v>0.43000000000000022</v>
      </c>
      <c r="B59">
        <f t="shared" si="4"/>
        <v>4.0945586459521897</v>
      </c>
      <c r="C59">
        <f t="shared" si="4"/>
        <v>1.2932279398821023</v>
      </c>
      <c r="D59">
        <f t="shared" si="1"/>
        <v>-0.28921065495731946</v>
      </c>
      <c r="E59">
        <f t="shared" si="2"/>
        <v>-16.130432530087418</v>
      </c>
    </row>
    <row r="60" spans="1:5" x14ac:dyDescent="0.3">
      <c r="A60">
        <f t="shared" si="3"/>
        <v>0.44000000000000022</v>
      </c>
      <c r="B60">
        <f t="shared" si="4"/>
        <v>4.2045571868665794</v>
      </c>
      <c r="C60">
        <f t="shared" si="4"/>
        <v>1.2415153912058403</v>
      </c>
      <c r="D60">
        <f t="shared" si="1"/>
        <v>-0.32483669948079741</v>
      </c>
      <c r="E60">
        <f t="shared" si="2"/>
        <v>-17.995698628296772</v>
      </c>
    </row>
    <row r="61" spans="1:5" x14ac:dyDescent="0.3">
      <c r="A61">
        <f t="shared" si="3"/>
        <v>0.45000000000000023</v>
      </c>
      <c r="B61">
        <f t="shared" si="4"/>
        <v>4.3148223683092191</v>
      </c>
      <c r="C61">
        <f t="shared" si="4"/>
        <v>1.1882246146977984</v>
      </c>
      <c r="D61">
        <f t="shared" si="1"/>
        <v>-0.35898656668897733</v>
      </c>
      <c r="E61">
        <f t="shared" si="2"/>
        <v>-19.747456209455688</v>
      </c>
    </row>
    <row r="62" spans="1:5" x14ac:dyDescent="0.3">
      <c r="A62">
        <f t="shared" si="3"/>
        <v>0.46000000000000024</v>
      </c>
      <c r="B62">
        <f t="shared" si="4"/>
        <v>4.4253271898098001</v>
      </c>
      <c r="C62">
        <f t="shared" si="4"/>
        <v>1.1334982364329651</v>
      </c>
      <c r="D62">
        <f t="shared" si="1"/>
        <v>-0.39164112067213597</v>
      </c>
      <c r="E62">
        <f t="shared" si="2"/>
        <v>-21.387353808535007</v>
      </c>
    </row>
    <row r="63" spans="1:5" x14ac:dyDescent="0.3">
      <c r="A63">
        <f t="shared" si="3"/>
        <v>0.47000000000000025</v>
      </c>
      <c r="B63">
        <f t="shared" si="4"/>
        <v>4.5360446508980168</v>
      </c>
      <c r="C63">
        <f t="shared" si="4"/>
        <v>1.0774788824863315</v>
      </c>
      <c r="D63">
        <f t="shared" si="1"/>
        <v>-0.42278273724052906</v>
      </c>
      <c r="E63">
        <f t="shared" si="2"/>
        <v>-22.917802328462411</v>
      </c>
    </row>
    <row r="64" spans="1:5" x14ac:dyDescent="0.3">
      <c r="A64">
        <f t="shared" si="3"/>
        <v>0.48000000000000026</v>
      </c>
      <c r="B64">
        <f t="shared" si="4"/>
        <v>4.6469477511035633</v>
      </c>
      <c r="C64">
        <f t="shared" si="4"/>
        <v>1.0203091789328851</v>
      </c>
      <c r="D64">
        <f t="shared" si="1"/>
        <v>-0.4523953117808559</v>
      </c>
      <c r="E64">
        <f t="shared" si="2"/>
        <v>-24.341772898200784</v>
      </c>
    </row>
    <row r="65" spans="1:5" x14ac:dyDescent="0.3">
      <c r="A65">
        <f t="shared" si="3"/>
        <v>0.49000000000000027</v>
      </c>
      <c r="B65">
        <f t="shared" si="4"/>
        <v>4.7580094899561338</v>
      </c>
      <c r="C65">
        <f t="shared" si="4"/>
        <v>0.96213175184761535</v>
      </c>
      <c r="D65">
        <f t="shared" si="1"/>
        <v>-0.48046426617467963</v>
      </c>
      <c r="E65">
        <f t="shared" si="2"/>
        <v>-25.662621294200211</v>
      </c>
    </row>
    <row r="66" spans="1:5" x14ac:dyDescent="0.3">
      <c r="A66">
        <f t="shared" si="3"/>
        <v>0.50000000000000022</v>
      </c>
      <c r="B66">
        <f t="shared" si="4"/>
        <v>4.8692028669854217</v>
      </c>
      <c r="C66">
        <f t="shared" si="4"/>
        <v>0.90308922730551244</v>
      </c>
      <c r="D66">
        <f t="shared" si="1"/>
        <v>-0.50697655477881165</v>
      </c>
      <c r="E66">
        <f t="shared" si="2"/>
        <v>-26.883939693377201</v>
      </c>
    </row>
    <row r="67" spans="1:5" x14ac:dyDescent="0.3">
      <c r="A67">
        <f t="shared" si="3"/>
        <v>0.51000000000000023</v>
      </c>
      <c r="B67">
        <f t="shared" si="4"/>
        <v>4.980500881721122</v>
      </c>
      <c r="C67">
        <f t="shared" si="4"/>
        <v>0.8433242313815652</v>
      </c>
      <c r="D67">
        <f t="shared" si="1"/>
        <v>-0.5319206694676577</v>
      </c>
      <c r="E67">
        <f t="shared" si="2"/>
        <v>-28.009434656757033</v>
      </c>
    </row>
    <row r="68" spans="1:5" x14ac:dyDescent="0.3">
      <c r="A68">
        <f t="shared" si="3"/>
        <v>0.52000000000000024</v>
      </c>
      <c r="B68">
        <f t="shared" si="4"/>
        <v>5.0918765336929273</v>
      </c>
      <c r="C68">
        <f t="shared" si="4"/>
        <v>0.78297939015076246</v>
      </c>
      <c r="D68">
        <f t="shared" si="1"/>
        <v>-0.55528664373751568</v>
      </c>
      <c r="E68">
        <f t="shared" si="2"/>
        <v>-29.042829089990217</v>
      </c>
    </row>
    <row r="69" spans="1:5" x14ac:dyDescent="0.3">
      <c r="A69">
        <f t="shared" si="3"/>
        <v>0.53000000000000025</v>
      </c>
      <c r="B69">
        <f t="shared" si="4"/>
        <v>5.2033028224305324</v>
      </c>
      <c r="C69">
        <f t="shared" si="4"/>
        <v>0.72219732968809436</v>
      </c>
      <c r="D69">
        <f t="shared" si="1"/>
        <v>-0.57706605587284177</v>
      </c>
      <c r="E69">
        <f t="shared" si="2"/>
        <v>-29.987785329300369</v>
      </c>
    </row>
    <row r="70" spans="1:5" x14ac:dyDescent="0.3">
      <c r="A70">
        <f t="shared" si="3"/>
        <v>0.54000000000000026</v>
      </c>
      <c r="B70">
        <f t="shared" si="4"/>
        <v>5.3147527474636318</v>
      </c>
      <c r="C70">
        <f t="shared" si="4"/>
        <v>0.66112067606854885</v>
      </c>
      <c r="D70">
        <f t="shared" si="1"/>
        <v>-0.59725203117447534</v>
      </c>
      <c r="E70">
        <f t="shared" si="2"/>
        <v>-30.847846302834387</v>
      </c>
    </row>
    <row r="71" spans="1:5" x14ac:dyDescent="0.3">
      <c r="A71">
        <f t="shared" si="3"/>
        <v>0.55000000000000027</v>
      </c>
      <c r="B71">
        <f t="shared" si="4"/>
        <v>5.426199308321916</v>
      </c>
      <c r="C71">
        <f t="shared" si="4"/>
        <v>0.59989205536711698</v>
      </c>
      <c r="D71">
        <f t="shared" si="1"/>
        <v>-0.61583924324981831</v>
      </c>
      <c r="E71">
        <f t="shared" si="2"/>
        <v>-31.626391784051457</v>
      </c>
    </row>
    <row r="72" spans="1:5" x14ac:dyDescent="0.3">
      <c r="A72">
        <f t="shared" si="3"/>
        <v>0.56000000000000028</v>
      </c>
      <c r="B72">
        <f t="shared" si="4"/>
        <v>5.5376155045350837</v>
      </c>
      <c r="C72">
        <f t="shared" si="4"/>
        <v>0.53865409365878603</v>
      </c>
      <c r="D72">
        <f t="shared" si="1"/>
        <v>-0.63282391436497898</v>
      </c>
      <c r="E72">
        <f t="shared" si="2"/>
        <v>-32.326606980553251</v>
      </c>
    </row>
    <row r="73" spans="1:5" x14ac:dyDescent="0.3">
      <c r="A73">
        <f t="shared" si="3"/>
        <v>0.57000000000000028</v>
      </c>
      <c r="B73">
        <f t="shared" si="4"/>
        <v>5.6489743356328255</v>
      </c>
      <c r="C73">
        <f t="shared" si="4"/>
        <v>0.47754941701854681</v>
      </c>
      <c r="D73">
        <f t="shared" si="1"/>
        <v>-0.64820381485887957</v>
      </c>
      <c r="E73">
        <f t="shared" si="2"/>
        <v>-32.951461011586879</v>
      </c>
    </row>
    <row r="74" spans="1:5" x14ac:dyDescent="0.3">
      <c r="A74">
        <f t="shared" si="3"/>
        <v>0.58000000000000029</v>
      </c>
      <c r="B74">
        <f t="shared" si="4"/>
        <v>5.7602488011448365</v>
      </c>
      <c r="C74">
        <f t="shared" si="4"/>
        <v>0.41672065152138749</v>
      </c>
      <c r="D74">
        <f t="shared" si="1"/>
        <v>-0.66197826161931284</v>
      </c>
      <c r="E74">
        <f t="shared" si="2"/>
        <v>-33.503693167468441</v>
      </c>
    </row>
    <row r="75" spans="1:5" x14ac:dyDescent="0.3">
      <c r="A75">
        <f t="shared" si="3"/>
        <v>0.5900000000000003</v>
      </c>
      <c r="B75">
        <f t="shared" si="4"/>
        <v>5.8714119006008101</v>
      </c>
      <c r="C75">
        <f t="shared" si="4"/>
        <v>0.35631042324229822</v>
      </c>
      <c r="D75">
        <f t="shared" si="1"/>
        <v>-0.67414811562096899</v>
      </c>
      <c r="E75">
        <f t="shared" si="2"/>
        <v>-33.985805180568171</v>
      </c>
    </row>
    <row r="76" spans="1:5" x14ac:dyDescent="0.3">
      <c r="A76">
        <f t="shared" si="3"/>
        <v>0.60000000000000031</v>
      </c>
      <c r="B76">
        <f t="shared" si="4"/>
        <v>5.9824366335304404</v>
      </c>
      <c r="C76">
        <f t="shared" si="4"/>
        <v>0.29646135825626763</v>
      </c>
      <c r="D76">
        <f t="shared" si="1"/>
        <v>-0.68471577852541943</v>
      </c>
      <c r="E76">
        <f t="shared" si="2"/>
        <v>-34.400058050542015</v>
      </c>
    </row>
    <row r="77" spans="1:5" x14ac:dyDescent="0.3">
      <c r="A77">
        <f t="shared" si="3"/>
        <v>0.61000000000000032</v>
      </c>
      <c r="B77">
        <f t="shared" si="4"/>
        <v>6.0932959994634208</v>
      </c>
      <c r="C77">
        <f t="shared" si="4"/>
        <v>0.23731608263828563</v>
      </c>
      <c r="D77">
        <f t="shared" si="1"/>
        <v>-0.69368518834305748</v>
      </c>
      <c r="E77">
        <f t="shared" si="2"/>
        <v>-34.748472246322471</v>
      </c>
    </row>
    <row r="78" spans="1:5" x14ac:dyDescent="0.3">
      <c r="A78">
        <f t="shared" si="3"/>
        <v>0.62000000000000033</v>
      </c>
      <c r="B78">
        <f t="shared" si="4"/>
        <v>6.2039629979294464</v>
      </c>
      <c r="C78">
        <f t="shared" si="4"/>
        <v>0.1790172224633404</v>
      </c>
      <c r="D78">
        <f t="shared" si="1"/>
        <v>-0.70106181415700286</v>
      </c>
      <c r="E78">
        <f t="shared" si="2"/>
        <v>-35.032830350623911</v>
      </c>
    </row>
    <row r="79" spans="1:5" x14ac:dyDescent="0.3">
      <c r="A79">
        <f t="shared" si="3"/>
        <v>0.63000000000000034</v>
      </c>
      <c r="B79">
        <f t="shared" si="4"/>
        <v>6.3144106284582096</v>
      </c>
      <c r="C79">
        <f t="shared" si="4"/>
        <v>0.12170740380642209</v>
      </c>
      <c r="D79">
        <f t="shared" si="1"/>
        <v>-0.70685264990896268</v>
      </c>
      <c r="E79">
        <f t="shared" si="2"/>
        <v>-35.254681420045699</v>
      </c>
    </row>
    <row r="80" spans="1:5" x14ac:dyDescent="0.3">
      <c r="A80">
        <f t="shared" si="3"/>
        <v>0.64000000000000035</v>
      </c>
      <c r="B80">
        <f t="shared" ref="B80:C116" si="5">H$16*(1-$A80)^3+H$17*3*$A80*(1-$A80)^2+H$18*3*$A80^2*(1-$A80)+H$19*$A80^3</f>
        <v>6.4246118905794063</v>
      </c>
      <c r="C80">
        <f t="shared" si="5"/>
        <v>6.5529252742519528E-2</v>
      </c>
      <c r="D80">
        <f t="shared" si="1"/>
        <v>-0.71106620724706016</v>
      </c>
      <c r="E80">
        <f t="shared" si="2"/>
        <v>-35.415346508240034</v>
      </c>
    </row>
    <row r="81" spans="1:5" x14ac:dyDescent="0.3">
      <c r="A81">
        <f t="shared" si="3"/>
        <v>0.65000000000000036</v>
      </c>
      <c r="B81">
        <f t="shared" si="5"/>
        <v>6.5345397838227282</v>
      </c>
      <c r="C81">
        <f t="shared" si="5"/>
        <v>1.0625395346622435E-2</v>
      </c>
      <c r="D81">
        <f t="shared" ref="D81:D116" si="6">E$10-(2*(2*E$10+I$10)/C$1)*B81+3*((I$10+E$10)/C$1^2)*B81^2</f>
        <v>-0.7137125074356101</v>
      </c>
      <c r="E81">
        <f t="shared" ref="E81:E116" si="7">DEGREES(ATAN(D81))</f>
        <v>-35.515924945147944</v>
      </c>
    </row>
    <row r="82" spans="1:5" x14ac:dyDescent="0.3">
      <c r="A82">
        <f t="shared" ref="A82:A116" si="8">A81+B$14</f>
        <v>0.66000000000000036</v>
      </c>
      <c r="B82">
        <f t="shared" si="5"/>
        <v>6.6441673077178702</v>
      </c>
      <c r="C82">
        <f t="shared" si="5"/>
        <v>-4.2861542306280143E-2</v>
      </c>
      <c r="D82">
        <f t="shared" si="6"/>
        <v>-0.71480307232686791</v>
      </c>
      <c r="E82">
        <f t="shared" si="7"/>
        <v>-35.557301086491861</v>
      </c>
    </row>
    <row r="83" spans="1:5" x14ac:dyDescent="0.3">
      <c r="A83">
        <f t="shared" si="8"/>
        <v>0.67000000000000037</v>
      </c>
      <c r="B83">
        <f t="shared" si="5"/>
        <v>6.7534674617945267</v>
      </c>
      <c r="C83">
        <f t="shared" si="5"/>
        <v>-9.4788934141199599E-2</v>
      </c>
      <c r="D83">
        <f t="shared" si="6"/>
        <v>-0.71435091439472975</v>
      </c>
      <c r="E83">
        <f t="shared" si="7"/>
        <v>-35.5401513489699</v>
      </c>
    </row>
    <row r="84" spans="1:5" x14ac:dyDescent="0.3">
      <c r="A84">
        <f t="shared" si="8"/>
        <v>0.68000000000000038</v>
      </c>
      <c r="B84">
        <f t="shared" si="5"/>
        <v>6.8624132455823901</v>
      </c>
      <c r="C84">
        <f t="shared" si="5"/>
        <v>-0.14501415408314533</v>
      </c>
      <c r="D84">
        <f t="shared" si="6"/>
        <v>-0.71237052583039606</v>
      </c>
      <c r="E84">
        <f t="shared" si="7"/>
        <v>-35.464951432056324</v>
      </c>
    </row>
    <row r="85" spans="1:5" x14ac:dyDescent="0.3">
      <c r="A85">
        <f t="shared" si="8"/>
        <v>0.69000000000000039</v>
      </c>
      <c r="B85">
        <f t="shared" si="5"/>
        <v>6.9709776586111554</v>
      </c>
      <c r="C85">
        <f t="shared" si="5"/>
        <v>-0.19339457605712917</v>
      </c>
      <c r="D85">
        <f t="shared" si="6"/>
        <v>-0.70887786669999509</v>
      </c>
      <c r="E85">
        <f t="shared" si="7"/>
        <v>-35.331983700663329</v>
      </c>
    </row>
    <row r="86" spans="1:5" x14ac:dyDescent="0.3">
      <c r="A86">
        <f t="shared" si="8"/>
        <v>0.7000000000000004</v>
      </c>
      <c r="B86">
        <f t="shared" si="5"/>
        <v>7.0791337004105168</v>
      </c>
      <c r="C86">
        <f t="shared" si="5"/>
        <v>-0.23978757398816175</v>
      </c>
      <c r="D86">
        <f t="shared" si="6"/>
        <v>-0.70389035216416662</v>
      </c>
      <c r="E86">
        <f t="shared" si="7"/>
        <v>-35.141344767380389</v>
      </c>
    </row>
    <row r="87" spans="1:5" x14ac:dyDescent="0.3">
      <c r="A87">
        <f t="shared" si="8"/>
        <v>0.71000000000000041</v>
      </c>
      <c r="B87">
        <f t="shared" si="5"/>
        <v>7.1868543705101668</v>
      </c>
      <c r="C87">
        <f t="shared" si="5"/>
        <v>-0.28405052180125356</v>
      </c>
      <c r="D87">
        <f t="shared" si="6"/>
        <v>-0.69742683875960321</v>
      </c>
      <c r="E87">
        <f t="shared" si="7"/>
        <v>-34.892953371306412</v>
      </c>
    </row>
    <row r="88" spans="1:5" x14ac:dyDescent="0.3">
      <c r="A88">
        <f t="shared" si="8"/>
        <v>0.72000000000000042</v>
      </c>
      <c r="B88">
        <f t="shared" si="5"/>
        <v>7.2941126684398014</v>
      </c>
      <c r="C88">
        <f t="shared" si="5"/>
        <v>-0.32604079342141512</v>
      </c>
      <c r="D88">
        <f t="shared" si="6"/>
        <v>-0.68950760974255321</v>
      </c>
      <c r="E88">
        <f t="shared" si="7"/>
        <v>-34.586558704871372</v>
      </c>
    </row>
    <row r="89" spans="1:5" x14ac:dyDescent="0.3">
      <c r="A89">
        <f t="shared" si="8"/>
        <v>0.73000000000000043</v>
      </c>
      <c r="B89">
        <f t="shared" si="5"/>
        <v>7.4008815937291121</v>
      </c>
      <c r="C89">
        <f t="shared" si="5"/>
        <v>-0.3656157627736577</v>
      </c>
      <c r="D89">
        <f t="shared" si="6"/>
        <v>-0.68015435949428715</v>
      </c>
      <c r="E89">
        <f t="shared" si="7"/>
        <v>-34.221749392263888</v>
      </c>
    </row>
    <row r="90" spans="1:5" x14ac:dyDescent="0.3">
      <c r="A90">
        <f t="shared" si="8"/>
        <v>0.74000000000000044</v>
      </c>
      <c r="B90">
        <f t="shared" si="5"/>
        <v>7.5071341459077949</v>
      </c>
      <c r="C90">
        <f t="shared" si="5"/>
        <v>-0.40263280378299182</v>
      </c>
      <c r="D90">
        <f t="shared" si="6"/>
        <v>-0.66939017698851666</v>
      </c>
      <c r="E90">
        <f t="shared" si="7"/>
        <v>-33.797963374385063</v>
      </c>
    </row>
    <row r="91" spans="1:5" x14ac:dyDescent="0.3">
      <c r="A91">
        <f t="shared" si="8"/>
        <v>0.75000000000000044</v>
      </c>
      <c r="B91">
        <f t="shared" si="5"/>
        <v>7.6128433245055431</v>
      </c>
      <c r="C91">
        <f t="shared" si="5"/>
        <v>-0.43694929037442809</v>
      </c>
      <c r="D91">
        <f t="shared" si="6"/>
        <v>-0.65723952832077925</v>
      </c>
      <c r="E91">
        <f t="shared" si="7"/>
        <v>-33.314499006330259</v>
      </c>
    </row>
    <row r="92" spans="1:5" x14ac:dyDescent="0.3">
      <c r="A92">
        <f t="shared" si="8"/>
        <v>0.76000000000000045</v>
      </c>
      <c r="B92">
        <f t="shared" si="5"/>
        <v>7.7179821290520483</v>
      </c>
      <c r="C92">
        <f t="shared" si="5"/>
        <v>-0.46842259647297724</v>
      </c>
      <c r="D92">
        <f t="shared" si="6"/>
        <v>-0.64372823829978465</v>
      </c>
      <c r="E92">
        <f t="shared" si="7"/>
        <v>-32.770527724302866</v>
      </c>
    </row>
    <row r="93" spans="1:5" x14ac:dyDescent="0.3">
      <c r="A93">
        <f t="shared" si="8"/>
        <v>0.77000000000000046</v>
      </c>
      <c r="B93">
        <f t="shared" si="5"/>
        <v>7.822523559077009</v>
      </c>
      <c r="C93">
        <f t="shared" si="5"/>
        <v>-0.49691009600365055</v>
      </c>
      <c r="D93">
        <f t="shared" si="6"/>
        <v>-0.6288834711007083</v>
      </c>
      <c r="E93">
        <f t="shared" si="7"/>
        <v>-32.165108688874533</v>
      </c>
    </row>
    <row r="94" spans="1:5" x14ac:dyDescent="0.3">
      <c r="A94">
        <f t="shared" si="8"/>
        <v>0.78000000000000047</v>
      </c>
      <c r="B94">
        <f t="shared" si="5"/>
        <v>7.9264406141101142</v>
      </c>
      <c r="C94">
        <f t="shared" si="5"/>
        <v>-0.52226916289145786</v>
      </c>
      <c r="D94">
        <f t="shared" si="6"/>
        <v>-0.61273370998046683</v>
      </c>
      <c r="E94">
        <f t="shared" si="7"/>
        <v>-31.497205858978404</v>
      </c>
    </row>
    <row r="95" spans="1:5" x14ac:dyDescent="0.3">
      <c r="A95">
        <f t="shared" si="8"/>
        <v>0.79000000000000048</v>
      </c>
      <c r="B95">
        <f t="shared" si="5"/>
        <v>8.0297062936810608</v>
      </c>
      <c r="C95">
        <f t="shared" si="5"/>
        <v>-0.54435717106141068</v>
      </c>
      <c r="D95">
        <f t="shared" si="6"/>
        <v>-0.59530873605493095</v>
      </c>
      <c r="E95">
        <f t="shared" si="7"/>
        <v>-30.765707993169805</v>
      </c>
    </row>
    <row r="96" spans="1:5" x14ac:dyDescent="0.3">
      <c r="A96">
        <f t="shared" si="8"/>
        <v>0.80000000000000049</v>
      </c>
      <c r="B96">
        <f t="shared" si="5"/>
        <v>8.132293597319542</v>
      </c>
      <c r="C96">
        <f t="shared" si="5"/>
        <v>-0.5630314944385193</v>
      </c>
      <c r="D96">
        <f t="shared" si="6"/>
        <v>-0.57663960613811227</v>
      </c>
      <c r="E96">
        <f t="shared" si="7"/>
        <v>-29.969452107378213</v>
      </c>
    </row>
    <row r="97" spans="1:5" x14ac:dyDescent="0.3">
      <c r="A97">
        <f t="shared" si="8"/>
        <v>0.8100000000000005</v>
      </c>
      <c r="B97">
        <f t="shared" si="5"/>
        <v>8.2341755245552513</v>
      </c>
      <c r="C97">
        <f t="shared" si="5"/>
        <v>-0.57814950694779477</v>
      </c>
      <c r="D97">
        <f t="shared" si="6"/>
        <v>-0.55675862964330936</v>
      </c>
      <c r="E97">
        <f t="shared" si="7"/>
        <v>-29.107250935849393</v>
      </c>
    </row>
    <row r="98" spans="1:5" x14ac:dyDescent="0.3">
      <c r="A98">
        <f t="shared" si="8"/>
        <v>0.82000000000000051</v>
      </c>
      <c r="B98">
        <f t="shared" si="5"/>
        <v>8.3353250749178827</v>
      </c>
      <c r="C98">
        <f t="shared" si="5"/>
        <v>-0.5895685825142476</v>
      </c>
      <c r="D98">
        <f t="shared" si="6"/>
        <v>-0.53569934454620505</v>
      </c>
      <c r="E98">
        <f t="shared" si="7"/>
        <v>-28.177924936700709</v>
      </c>
    </row>
    <row r="99" spans="1:5" x14ac:dyDescent="0.3">
      <c r="A99">
        <f t="shared" si="8"/>
        <v>0.83000000000000052</v>
      </c>
      <c r="B99">
        <f t="shared" si="5"/>
        <v>8.4357152479371305</v>
      </c>
      <c r="C99">
        <f t="shared" si="5"/>
        <v>-0.59714609506288885</v>
      </c>
      <c r="D99">
        <f t="shared" si="6"/>
        <v>-0.51349649240993323</v>
      </c>
      <c r="E99">
        <f t="shared" si="7"/>
        <v>-27.180339346036746</v>
      </c>
    </row>
    <row r="100" spans="1:5" x14ac:dyDescent="0.3">
      <c r="A100">
        <f t="shared" si="8"/>
        <v>0.84000000000000052</v>
      </c>
      <c r="B100">
        <f t="shared" si="5"/>
        <v>8.5353190431426906</v>
      </c>
      <c r="C100">
        <f t="shared" si="5"/>
        <v>-0.60073941851872914</v>
      </c>
      <c r="D100">
        <f t="shared" si="6"/>
        <v>-0.4901859924720986</v>
      </c>
      <c r="E100">
        <f t="shared" si="7"/>
        <v>-26.113446703628835</v>
      </c>
    </row>
    <row r="101" spans="1:5" x14ac:dyDescent="0.3">
      <c r="A101">
        <f t="shared" si="8"/>
        <v>0.85000000000000053</v>
      </c>
      <c r="B101">
        <f t="shared" si="5"/>
        <v>8.6341094600642521</v>
      </c>
      <c r="C101">
        <f t="shared" si="5"/>
        <v>-0.60020592680677876</v>
      </c>
      <c r="D101">
        <f t="shared" si="6"/>
        <v>-0.46580491479376818</v>
      </c>
      <c r="E101">
        <f t="shared" si="7"/>
        <v>-24.976335136067906</v>
      </c>
    </row>
    <row r="102" spans="1:5" x14ac:dyDescent="0.3">
      <c r="A102">
        <f t="shared" si="8"/>
        <v>0.86000000000000054</v>
      </c>
      <c r="B102">
        <f t="shared" si="5"/>
        <v>8.7320594982315107</v>
      </c>
      <c r="C102">
        <f t="shared" si="5"/>
        <v>-0.59540299385204909</v>
      </c>
      <c r="D102">
        <f t="shared" si="6"/>
        <v>-0.44039145247039801</v>
      </c>
      <c r="E102">
        <f t="shared" si="7"/>
        <v>-23.768282476784901</v>
      </c>
    </row>
    <row r="103" spans="1:5" x14ac:dyDescent="0.3">
      <c r="A103">
        <f t="shared" si="8"/>
        <v>0.87000000000000055</v>
      </c>
      <c r="B103">
        <f t="shared" si="5"/>
        <v>8.8291421571741626</v>
      </c>
      <c r="C103">
        <f t="shared" si="5"/>
        <v>-0.58618799357955043</v>
      </c>
      <c r="D103">
        <f t="shared" si="6"/>
        <v>-0.41398489290475471</v>
      </c>
      <c r="E103">
        <f t="shared" si="7"/>
        <v>-22.488816014031659</v>
      </c>
    </row>
    <row r="104" spans="1:5" x14ac:dyDescent="0.3">
      <c r="A104">
        <f t="shared" si="8"/>
        <v>0.88000000000000056</v>
      </c>
      <c r="B104">
        <f t="shared" si="5"/>
        <v>8.9253304364219002</v>
      </c>
      <c r="C104">
        <f t="shared" si="5"/>
        <v>-0.57241829991429372</v>
      </c>
      <c r="D104">
        <f t="shared" si="6"/>
        <v>-0.38662558814176418</v>
      </c>
      <c r="E104">
        <f t="shared" si="7"/>
        <v>-21.137777278534525</v>
      </c>
    </row>
    <row r="105" spans="1:5" x14ac:dyDescent="0.3">
      <c r="A105">
        <f t="shared" si="8"/>
        <v>0.89000000000000057</v>
      </c>
      <c r="B105">
        <f t="shared" si="5"/>
        <v>9.0205973355044176</v>
      </c>
      <c r="C105">
        <f t="shared" si="5"/>
        <v>-0.5539512867812898</v>
      </c>
      <c r="D105">
        <f t="shared" si="6"/>
        <v>-0.35835492426534366</v>
      </c>
      <c r="E105">
        <f t="shared" si="7"/>
        <v>-19.715390808946399</v>
      </c>
    </row>
    <row r="106" spans="1:5" x14ac:dyDescent="0.3">
      <c r="A106">
        <f t="shared" si="8"/>
        <v>0.90000000000000058</v>
      </c>
      <c r="B106">
        <f t="shared" si="5"/>
        <v>9.114915853951409</v>
      </c>
      <c r="C106">
        <f t="shared" si="5"/>
        <v>-0.53064432810554918</v>
      </c>
      <c r="D106">
        <f t="shared" si="6"/>
        <v>-0.32921528985718229</v>
      </c>
      <c r="E106">
        <f t="shared" si="7"/>
        <v>-18.222335272138874</v>
      </c>
    </row>
    <row r="107" spans="1:5" x14ac:dyDescent="0.3">
      <c r="A107">
        <f t="shared" si="8"/>
        <v>0.91000000000000059</v>
      </c>
      <c r="B107">
        <f t="shared" si="5"/>
        <v>9.2082589912925652</v>
      </c>
      <c r="C107">
        <f t="shared" si="5"/>
        <v>-0.50235479781208281</v>
      </c>
      <c r="D107">
        <f t="shared" si="6"/>
        <v>-0.29925004351747386</v>
      </c>
      <c r="E107">
        <f t="shared" si="7"/>
        <v>-16.65981468755583</v>
      </c>
    </row>
    <row r="108" spans="1:5" x14ac:dyDescent="0.3">
      <c r="A108">
        <f t="shared" si="8"/>
        <v>0.9200000000000006</v>
      </c>
      <c r="B108">
        <f t="shared" si="5"/>
        <v>9.3005997470575839</v>
      </c>
      <c r="C108">
        <f t="shared" si="5"/>
        <v>-0.46894006982590108</v>
      </c>
      <c r="D108">
        <f t="shared" si="6"/>
        <v>-0.26850348044763983</v>
      </c>
      <c r="E108">
        <f t="shared" si="7"/>
        <v>-15.029626848892974</v>
      </c>
    </row>
    <row r="109" spans="1:5" x14ac:dyDescent="0.3">
      <c r="A109">
        <f t="shared" si="8"/>
        <v>0.9300000000000006</v>
      </c>
      <c r="B109">
        <f t="shared" si="5"/>
        <v>9.3919111207761574</v>
      </c>
      <c r="C109">
        <f t="shared" si="5"/>
        <v>-0.43025751807201518</v>
      </c>
      <c r="D109">
        <f t="shared" si="6"/>
        <v>-0.23702079809497789</v>
      </c>
      <c r="E109">
        <f t="shared" si="7"/>
        <v>-13.334225411224875</v>
      </c>
    </row>
    <row r="110" spans="1:5" x14ac:dyDescent="0.3">
      <c r="A110">
        <f t="shared" si="8"/>
        <v>0.94000000000000061</v>
      </c>
      <c r="B110">
        <f t="shared" si="5"/>
        <v>9.4821661119779819</v>
      </c>
      <c r="C110">
        <f t="shared" si="5"/>
        <v>-0.38616451647543576</v>
      </c>
      <c r="D110">
        <f t="shared" si="6"/>
        <v>-0.20484806085928042</v>
      </c>
      <c r="E110">
        <f t="shared" si="7"/>
        <v>-11.576771596443672</v>
      </c>
    </row>
    <row r="111" spans="1:5" x14ac:dyDescent="0.3">
      <c r="A111">
        <f t="shared" si="8"/>
        <v>0.95000000000000062</v>
      </c>
      <c r="B111">
        <f t="shared" si="5"/>
        <v>9.5713377201927461</v>
      </c>
      <c r="C111">
        <f t="shared" si="5"/>
        <v>-0.33651843896117334</v>
      </c>
      <c r="D111">
        <f t="shared" si="6"/>
        <v>-0.17203216386143794</v>
      </c>
      <c r="E111">
        <f t="shared" si="7"/>
        <v>-9.7611711591315053</v>
      </c>
    </row>
    <row r="112" spans="1:5" x14ac:dyDescent="0.3">
      <c r="A112">
        <f t="shared" si="8"/>
        <v>0.96000000000000063</v>
      </c>
      <c r="B112">
        <f t="shared" si="5"/>
        <v>9.6593989449501496</v>
      </c>
      <c r="C112">
        <f t="shared" si="5"/>
        <v>-0.28117665945423886</v>
      </c>
      <c r="D112">
        <f t="shared" si="6"/>
        <v>-0.13862079577396091</v>
      </c>
      <c r="E112">
        <f t="shared" si="7"/>
        <v>-7.8920922490760628</v>
      </c>
    </row>
    <row r="113" spans="1:5" x14ac:dyDescent="0.3">
      <c r="A113">
        <f t="shared" si="8"/>
        <v>0.97000000000000064</v>
      </c>
      <c r="B113">
        <f t="shared" si="5"/>
        <v>9.7463227857798831</v>
      </c>
      <c r="C113">
        <f t="shared" si="5"/>
        <v>-0.21999655187964301</v>
      </c>
      <c r="D113">
        <f t="shared" si="6"/>
        <v>-0.10466240071349286</v>
      </c>
      <c r="E113">
        <f t="shared" si="7"/>
        <v>-5.9749601959313328</v>
      </c>
    </row>
    <row r="114" spans="1:5" x14ac:dyDescent="0.3">
      <c r="A114">
        <f t="shared" si="8"/>
        <v>0.98000000000000065</v>
      </c>
      <c r="B114">
        <f t="shared" si="5"/>
        <v>9.8320822422116407</v>
      </c>
      <c r="C114">
        <f t="shared" si="5"/>
        <v>-0.15283549016239648</v>
      </c>
      <c r="D114">
        <f t="shared" si="6"/>
        <v>-7.0206139195274631E-2</v>
      </c>
      <c r="E114">
        <f t="shared" si="7"/>
        <v>-4.0159260864163402</v>
      </c>
    </row>
    <row r="115" spans="1:5" x14ac:dyDescent="0.3">
      <c r="A115">
        <f t="shared" si="8"/>
        <v>0.99000000000000066</v>
      </c>
      <c r="B115">
        <f t="shared" si="5"/>
        <v>9.9166503137751167</v>
      </c>
      <c r="C115">
        <f t="shared" si="5"/>
        <v>-7.9550848227510046E-2</v>
      </c>
      <c r="D115">
        <f t="shared" si="6"/>
        <v>-3.530184814955728E-2</v>
      </c>
      <c r="E115">
        <f t="shared" si="7"/>
        <v>-2.0218073143478787</v>
      </c>
    </row>
    <row r="116" spans="1:5" x14ac:dyDescent="0.3">
      <c r="A116">
        <f t="shared" si="8"/>
        <v>1.0000000000000007</v>
      </c>
      <c r="B116">
        <f t="shared" si="5"/>
        <v>10.000000000000005</v>
      </c>
      <c r="C116">
        <f t="shared" si="5"/>
        <v>5.5110245299800648E-15</v>
      </c>
      <c r="D116">
        <f t="shared" si="6"/>
        <v>0</v>
      </c>
      <c r="E116">
        <f t="shared" si="7"/>
        <v>0</v>
      </c>
    </row>
  </sheetData>
  <mergeCells count="3">
    <mergeCell ref="B6:K6"/>
    <mergeCell ref="B7:F7"/>
    <mergeCell ref="G7:K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4" r:id="rId3" name="SpinButtonRadius2">
          <controlPr defaultSize="0" autoLine="0" r:id="rId4">
            <anchor moveWithCells="1">
              <from>
                <xdr:col>3</xdr:col>
                <xdr:colOff>30480</xdr:colOff>
                <xdr:row>4</xdr:row>
                <xdr:rowOff>15240</xdr:rowOff>
              </from>
              <to>
                <xdr:col>3</xdr:col>
                <xdr:colOff>556260</xdr:colOff>
                <xdr:row>5</xdr:row>
                <xdr:rowOff>0</xdr:rowOff>
              </to>
            </anchor>
          </controlPr>
        </control>
      </mc:Choice>
      <mc:Fallback>
        <control shapeId="15364" r:id="rId3" name="SpinButtonRadius2"/>
      </mc:Fallback>
    </mc:AlternateContent>
    <mc:AlternateContent xmlns:mc="http://schemas.openxmlformats.org/markup-compatibility/2006">
      <mc:Choice Requires="x14">
        <control shapeId="15363" r:id="rId5" name="SpinButtonRadius1">
          <controlPr defaultSize="0" autoLine="0" r:id="rId4">
            <anchor moveWithCells="1">
              <from>
                <xdr:col>3</xdr:col>
                <xdr:colOff>30480</xdr:colOff>
                <xdr:row>2</xdr:row>
                <xdr:rowOff>30480</xdr:rowOff>
              </from>
              <to>
                <xdr:col>3</xdr:col>
                <xdr:colOff>556260</xdr:colOff>
                <xdr:row>3</xdr:row>
                <xdr:rowOff>7620</xdr:rowOff>
              </to>
            </anchor>
          </controlPr>
        </control>
      </mc:Choice>
      <mc:Fallback>
        <control shapeId="15363" r:id="rId5" name="SpinButtonRadius1"/>
      </mc:Fallback>
    </mc:AlternateContent>
    <mc:AlternateContent xmlns:mc="http://schemas.openxmlformats.org/markup-compatibility/2006">
      <mc:Choice Requires="x14">
        <control shapeId="15362" r:id="rId6" name="SpinButtonTheta2">
          <controlPr defaultSize="0" autoLine="0" r:id="rId4">
            <anchor moveWithCells="1">
              <from>
                <xdr:col>3</xdr:col>
                <xdr:colOff>30480</xdr:colOff>
                <xdr:row>3</xdr:row>
                <xdr:rowOff>30480</xdr:rowOff>
              </from>
              <to>
                <xdr:col>3</xdr:col>
                <xdr:colOff>556260</xdr:colOff>
                <xdr:row>4</xdr:row>
                <xdr:rowOff>7620</xdr:rowOff>
              </to>
            </anchor>
          </controlPr>
        </control>
      </mc:Choice>
      <mc:Fallback>
        <control shapeId="15362" r:id="rId6" name="SpinButtonTheta2"/>
      </mc:Fallback>
    </mc:AlternateContent>
    <mc:AlternateContent xmlns:mc="http://schemas.openxmlformats.org/markup-compatibility/2006">
      <mc:Choice Requires="x14">
        <control shapeId="15361" r:id="rId7" name="SpinButtonTheta1">
          <controlPr defaultSize="0" autoLine="0" r:id="rId8">
            <anchor moveWithCells="1">
              <from>
                <xdr:col>3</xdr:col>
                <xdr:colOff>38100</xdr:colOff>
                <xdr:row>1</xdr:row>
                <xdr:rowOff>15240</xdr:rowOff>
              </from>
              <to>
                <xdr:col>3</xdr:col>
                <xdr:colOff>457200</xdr:colOff>
                <xdr:row>1</xdr:row>
                <xdr:rowOff>160020</xdr:rowOff>
              </to>
            </anchor>
          </controlPr>
        </control>
      </mc:Choice>
      <mc:Fallback>
        <control shapeId="15361" r:id="rId7" name="SpinButtonTheta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</vt:i4>
      </vt:variant>
    </vt:vector>
  </HeadingPairs>
  <TitlesOfParts>
    <vt:vector size="37" baseType="lpstr">
      <vt:lpstr>Numbers</vt:lpstr>
      <vt:lpstr>Algebra</vt:lpstr>
      <vt:lpstr>Matrix</vt:lpstr>
      <vt:lpstr>TrigonometryLibrary</vt:lpstr>
      <vt:lpstr>GeometryLibrary</vt:lpstr>
      <vt:lpstr>VectorLibrary</vt:lpstr>
      <vt:lpstr>CartesianCoordinates</vt:lpstr>
      <vt:lpstr>CartesianOffsets</vt:lpstr>
      <vt:lpstr>Angle</vt:lpstr>
      <vt:lpstr>AngleOffsets</vt:lpstr>
      <vt:lpstr>PolarCoordinate</vt:lpstr>
      <vt:lpstr>PolarOffset</vt:lpstr>
      <vt:lpstr>Vectors</vt:lpstr>
      <vt:lpstr>Conics</vt:lpstr>
      <vt:lpstr>Curved Areas Calcs</vt:lpstr>
      <vt:lpstr>Algebra!a_2</vt:lpstr>
      <vt:lpstr>Algebra!a_bar</vt:lpstr>
      <vt:lpstr>Algebra!A_cap</vt:lpstr>
      <vt:lpstr>Algebra!b_bar</vt:lpstr>
      <vt:lpstr>Algebra!B_cap</vt:lpstr>
      <vt:lpstr>Algebra!c_bar</vt:lpstr>
      <vt:lpstr>Algebra!d_bar</vt:lpstr>
      <vt:lpstr>deltaRadius</vt:lpstr>
      <vt:lpstr>deltaTheta</vt:lpstr>
      <vt:lpstr>Algebra!F_e22</vt:lpstr>
      <vt:lpstr>Algebra!F_e33</vt:lpstr>
      <vt:lpstr>Algebra!F_ez</vt:lpstr>
      <vt:lpstr>Algebra!Q</vt:lpstr>
      <vt:lpstr>Algebra!r_o</vt:lpstr>
      <vt:lpstr>radius1</vt:lpstr>
      <vt:lpstr>radius2</vt:lpstr>
      <vt:lpstr>Algebra!t</vt:lpstr>
      <vt:lpstr>Algebra!theta</vt:lpstr>
      <vt:lpstr>theta1</vt:lpstr>
      <vt:lpstr>theta2</vt:lpstr>
      <vt:lpstr>Algebra!x_o</vt:lpstr>
      <vt:lpstr>Algebra!y_o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Thomas</dc:creator>
  <cp:lastModifiedBy>Mark Thomas</cp:lastModifiedBy>
  <dcterms:created xsi:type="dcterms:W3CDTF">2015-06-05T18:17:20Z</dcterms:created>
  <dcterms:modified xsi:type="dcterms:W3CDTF">2020-11-21T08:57:51Z</dcterms:modified>
</cp:coreProperties>
</file>