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personal\MPT.Net\MPT\Math\docs\"/>
    </mc:Choice>
  </mc:AlternateContent>
  <xr:revisionPtr revIDLastSave="0" documentId="13_ncr:1_{2FBB1C07-F2F6-468F-A486-C265360F1C3D}" xr6:coauthVersionLast="46" xr6:coauthVersionMax="46" xr10:uidLastSave="{00000000-0000-0000-0000-000000000000}"/>
  <bookViews>
    <workbookView xWindow="28680" yWindow="-120" windowWidth="29040" windowHeight="15840" tabRatio="824" firstSheet="7" activeTab="18" xr2:uid="{00000000-000D-0000-FFFF-FFFF00000000}"/>
  </bookViews>
  <sheets>
    <sheet name="Numbers" sheetId="3" r:id="rId1"/>
    <sheet name="Algebra" sheetId="1" r:id="rId2"/>
    <sheet name="Matrix" sheetId="2" r:id="rId3"/>
    <sheet name="TrigonometryLibrary" sheetId="6" r:id="rId4"/>
    <sheet name="GeometryLibrary" sheetId="11" r:id="rId5"/>
    <sheet name="VectorLibrary" sheetId="5" r:id="rId6"/>
    <sheet name="Vectors" sheetId="10" r:id="rId7"/>
    <sheet name="CartesianCoordinates" sheetId="4" r:id="rId8"/>
    <sheet name="CartesianOffsets" sheetId="8" r:id="rId9"/>
    <sheet name="Angle" sheetId="7" r:id="rId10"/>
    <sheet name="AngleOffsets" sheetId="9" r:id="rId11"/>
    <sheet name="PolarCoordinate" sheetId="12" r:id="rId12"/>
    <sheet name="PolarOffset" sheetId="13" r:id="rId13"/>
    <sheet name="Transformations" sheetId="16" r:id="rId14"/>
    <sheet name="Conics" sheetId="14" r:id="rId15"/>
    <sheet name="Circular Curve" sheetId="19" r:id="rId16"/>
    <sheet name="Elliptical Curve" sheetId="20" r:id="rId17"/>
    <sheet name="Parabolic Curve" sheetId="21" r:id="rId18"/>
    <sheet name="Hyperbolic Curve" sheetId="22" r:id="rId19"/>
    <sheet name="Bezier Curves" sheetId="15" r:id="rId20"/>
    <sheet name="Intersections" sheetId="17" r:id="rId21"/>
  </sheets>
  <externalReferences>
    <externalReference r:id="rId22"/>
  </externalReferences>
  <definedNames>
    <definedName name="a_2" localSheetId="1">Algebra!$C$307</definedName>
    <definedName name="a_bar" localSheetId="1">Algebra!$C$214</definedName>
    <definedName name="A_cap" localSheetId="1">Algebra!$C$218</definedName>
    <definedName name="b_bar" localSheetId="1">Algebra!$C$215</definedName>
    <definedName name="B_cap" localSheetId="1">Algebra!$C$219</definedName>
    <definedName name="c_bar" localSheetId="1">Algebra!$C$216</definedName>
    <definedName name="currentGraphType">'[1]Shape Calcs (Hollow)'!$J$17</definedName>
    <definedName name="currentShape">'[1]Shape Calcs (Hollow)'!$J$15</definedName>
    <definedName name="d_bar" localSheetId="1">Algebra!$C$217</definedName>
    <definedName name="deltaRadius">'Bezier Curves'!$H$3</definedName>
    <definedName name="deltaTheta">'Bezier Curves'!$H$2</definedName>
    <definedName name="F_e22" localSheetId="1">Algebra!$C$300</definedName>
    <definedName name="F_e33" localSheetId="1">Algebra!$C$301</definedName>
    <definedName name="F_ez" localSheetId="1">Algebra!$C$302</definedName>
    <definedName name="listShapesCentroidNew">'[1]Shape Calcs (Hollow)'!$P$2:$P$13</definedName>
    <definedName name="listShapesCentroidOriginal">'[1]Shape Calcs (Hollow)'!$Q$2:$Q$11</definedName>
    <definedName name="listShapesGraphedNew">'[1]Shape Calcs (Hollow)'!$N$2:$N$21</definedName>
    <definedName name="listShapesGraphedOriginal">'[1]Shape Calcs (Hollow)'!$O$2:$O$13</definedName>
    <definedName name="Q" localSheetId="1">Algebra!$C$310</definedName>
    <definedName name="r_o" localSheetId="1">Algebra!$C$62</definedName>
    <definedName name="radius1">'Bezier Curves'!$C$3</definedName>
    <definedName name="radius2">'Bezier Curves'!$C$5</definedName>
    <definedName name="t" localSheetId="1">Algebra!$C$221</definedName>
    <definedName name="theta" localSheetId="1">Algebra!$C$315</definedName>
    <definedName name="theta1">'Bezier Curves'!$C$2</definedName>
    <definedName name="theta2">'Bezier Curves'!$C$4</definedName>
    <definedName name="x_o" localSheetId="1">Algebra!$C$55</definedName>
    <definedName name="y_o" localSheetId="1">Algebra!$C$59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94" i="19" l="1"/>
  <c r="P94" i="19"/>
  <c r="Q93" i="19"/>
  <c r="P93" i="19"/>
  <c r="Q92" i="19"/>
  <c r="P92" i="19"/>
  <c r="U92" i="19" s="1"/>
  <c r="Q91" i="19"/>
  <c r="P91" i="19"/>
  <c r="U91" i="19" s="1"/>
  <c r="Q90" i="19"/>
  <c r="P90" i="19"/>
  <c r="Q89" i="19"/>
  <c r="P89" i="19"/>
  <c r="Q88" i="19"/>
  <c r="P88" i="19"/>
  <c r="Q87" i="19"/>
  <c r="P87" i="19"/>
  <c r="U87" i="19" s="1"/>
  <c r="Q86" i="19"/>
  <c r="P86" i="19"/>
  <c r="Q85" i="19"/>
  <c r="P85" i="19"/>
  <c r="Q84" i="19"/>
  <c r="P84" i="19"/>
  <c r="Q83" i="19"/>
  <c r="P83" i="19"/>
  <c r="U83" i="19" s="1"/>
  <c r="Q82" i="19"/>
  <c r="P82" i="19"/>
  <c r="Q81" i="19"/>
  <c r="P81" i="19"/>
  <c r="Q80" i="19"/>
  <c r="P80" i="19"/>
  <c r="U80" i="19" s="1"/>
  <c r="Q79" i="19"/>
  <c r="P79" i="19"/>
  <c r="U79" i="19" s="1"/>
  <c r="Q78" i="19"/>
  <c r="P78" i="19"/>
  <c r="Q77" i="19"/>
  <c r="P77" i="19"/>
  <c r="Q76" i="19"/>
  <c r="P76" i="19"/>
  <c r="U76" i="19" s="1"/>
  <c r="Q75" i="19"/>
  <c r="P75" i="19"/>
  <c r="Q74" i="19"/>
  <c r="P74" i="19"/>
  <c r="Q73" i="19"/>
  <c r="P73" i="19"/>
  <c r="Q72" i="19"/>
  <c r="P72" i="19"/>
  <c r="Q71" i="19"/>
  <c r="P71" i="19"/>
  <c r="Q70" i="19"/>
  <c r="P70" i="19"/>
  <c r="Q69" i="19"/>
  <c r="P69" i="19"/>
  <c r="Q68" i="19"/>
  <c r="P68" i="19"/>
  <c r="U68" i="19" s="1"/>
  <c r="Q67" i="19"/>
  <c r="P67" i="19"/>
  <c r="U67" i="19" s="1"/>
  <c r="Q66" i="19"/>
  <c r="P66" i="19"/>
  <c r="Q65" i="19"/>
  <c r="P65" i="19"/>
  <c r="Q64" i="19"/>
  <c r="P64" i="19"/>
  <c r="U64" i="19" s="1"/>
  <c r="Q63" i="19"/>
  <c r="P63" i="19"/>
  <c r="U63" i="19" s="1"/>
  <c r="Q62" i="19"/>
  <c r="P62" i="19"/>
  <c r="U65" i="19"/>
  <c r="U73" i="19"/>
  <c r="U77" i="19"/>
  <c r="U81" i="19"/>
  <c r="U85" i="19"/>
  <c r="U93" i="19"/>
  <c r="G71" i="19"/>
  <c r="I71" i="19" s="1"/>
  <c r="G72" i="19"/>
  <c r="G88" i="19"/>
  <c r="G89" i="19"/>
  <c r="I89" i="19" s="1"/>
  <c r="U69" i="19"/>
  <c r="Q61" i="19"/>
  <c r="P61" i="19"/>
  <c r="U62" i="19"/>
  <c r="U66" i="19"/>
  <c r="U74" i="19"/>
  <c r="U75" i="19"/>
  <c r="U78" i="19"/>
  <c r="U82" i="19"/>
  <c r="U84" i="19"/>
  <c r="U90" i="19"/>
  <c r="U61" i="19"/>
  <c r="X61" i="19"/>
  <c r="H62" i="19"/>
  <c r="I62" i="19"/>
  <c r="H63" i="19"/>
  <c r="I63" i="19"/>
  <c r="H64" i="19"/>
  <c r="I64" i="19"/>
  <c r="H65" i="19"/>
  <c r="I65" i="19"/>
  <c r="H66" i="19"/>
  <c r="I66" i="19"/>
  <c r="H67" i="19"/>
  <c r="I67" i="19"/>
  <c r="H68" i="19"/>
  <c r="I68" i="19"/>
  <c r="H69" i="19"/>
  <c r="I69" i="19"/>
  <c r="H70" i="19"/>
  <c r="I70" i="19"/>
  <c r="H71" i="19"/>
  <c r="H72" i="19"/>
  <c r="I72" i="19"/>
  <c r="H73" i="19"/>
  <c r="I73" i="19"/>
  <c r="H74" i="19"/>
  <c r="I74" i="19"/>
  <c r="H75" i="19"/>
  <c r="I75" i="19"/>
  <c r="H76" i="19"/>
  <c r="I76" i="19"/>
  <c r="H77" i="19"/>
  <c r="I77" i="19"/>
  <c r="H78" i="19"/>
  <c r="I78" i="19"/>
  <c r="H79" i="19"/>
  <c r="I79" i="19"/>
  <c r="H80" i="19"/>
  <c r="I80" i="19"/>
  <c r="H81" i="19"/>
  <c r="I81" i="19"/>
  <c r="H82" i="19"/>
  <c r="I82" i="19"/>
  <c r="H83" i="19"/>
  <c r="I83" i="19"/>
  <c r="H84" i="19"/>
  <c r="I84" i="19"/>
  <c r="H85" i="19"/>
  <c r="I85" i="19"/>
  <c r="H86" i="19"/>
  <c r="I86" i="19"/>
  <c r="H87" i="19"/>
  <c r="I87" i="19"/>
  <c r="H88" i="19"/>
  <c r="I88" i="19"/>
  <c r="H89" i="19"/>
  <c r="H90" i="19"/>
  <c r="I90" i="19"/>
  <c r="H91" i="19"/>
  <c r="I91" i="19"/>
  <c r="H92" i="19"/>
  <c r="I92" i="19"/>
  <c r="H93" i="19"/>
  <c r="I93" i="19"/>
  <c r="H94" i="19"/>
  <c r="I94" i="19"/>
  <c r="I61" i="19"/>
  <c r="H61" i="19"/>
  <c r="F65" i="19"/>
  <c r="O61" i="19"/>
  <c r="N61" i="19"/>
  <c r="K94" i="19"/>
  <c r="J94" i="19"/>
  <c r="O93" i="19"/>
  <c r="N93" i="19"/>
  <c r="M93" i="19"/>
  <c r="L93" i="19"/>
  <c r="X93" i="19" s="1"/>
  <c r="K93" i="19"/>
  <c r="J93" i="19"/>
  <c r="G93" i="19"/>
  <c r="F93" i="19"/>
  <c r="O92" i="19"/>
  <c r="M92" i="19"/>
  <c r="L92" i="19"/>
  <c r="K92" i="19"/>
  <c r="J92" i="19"/>
  <c r="G92" i="19"/>
  <c r="F92" i="19"/>
  <c r="N92" i="19" s="1"/>
  <c r="X92" i="19" s="1"/>
  <c r="M91" i="19"/>
  <c r="K91" i="19"/>
  <c r="J91" i="19"/>
  <c r="L91" i="19" s="1"/>
  <c r="G91" i="19"/>
  <c r="O91" i="19" s="1"/>
  <c r="F91" i="19"/>
  <c r="N91" i="19" s="1"/>
  <c r="K90" i="19"/>
  <c r="M90" i="19" s="1"/>
  <c r="J90" i="19"/>
  <c r="L90" i="19" s="1"/>
  <c r="G90" i="19"/>
  <c r="O90" i="19" s="1"/>
  <c r="F90" i="19"/>
  <c r="N90" i="19" s="1"/>
  <c r="K89" i="19"/>
  <c r="M89" i="19" s="1"/>
  <c r="J89" i="19"/>
  <c r="N89" i="19" s="1"/>
  <c r="O89" i="19"/>
  <c r="K88" i="19"/>
  <c r="M88" i="19" s="1"/>
  <c r="J88" i="19"/>
  <c r="N88" i="19" s="1"/>
  <c r="O88" i="19"/>
  <c r="K87" i="19"/>
  <c r="M87" i="19" s="1"/>
  <c r="J87" i="19"/>
  <c r="L87" i="19" s="1"/>
  <c r="F87" i="19"/>
  <c r="N87" i="19" s="1"/>
  <c r="K86" i="19"/>
  <c r="M86" i="19" s="1"/>
  <c r="J86" i="19"/>
  <c r="L86" i="19" s="1"/>
  <c r="U86" i="19" s="1"/>
  <c r="F86" i="19"/>
  <c r="N86" i="19" s="1"/>
  <c r="K85" i="19"/>
  <c r="M85" i="19" s="1"/>
  <c r="J85" i="19"/>
  <c r="L85" i="19" s="1"/>
  <c r="G85" i="19"/>
  <c r="O85" i="19" s="1"/>
  <c r="F85" i="19"/>
  <c r="N85" i="19" s="1"/>
  <c r="L84" i="19"/>
  <c r="K84" i="19"/>
  <c r="M84" i="19" s="1"/>
  <c r="J84" i="19"/>
  <c r="G84" i="19"/>
  <c r="O84" i="19" s="1"/>
  <c r="F84" i="19"/>
  <c r="N84" i="19" s="1"/>
  <c r="M83" i="19"/>
  <c r="L83" i="19"/>
  <c r="K83" i="19"/>
  <c r="J83" i="19"/>
  <c r="G83" i="19"/>
  <c r="O83" i="19" s="1"/>
  <c r="F83" i="19"/>
  <c r="N83" i="19" s="1"/>
  <c r="N82" i="19"/>
  <c r="M82" i="19"/>
  <c r="L82" i="19"/>
  <c r="K82" i="19"/>
  <c r="J82" i="19"/>
  <c r="G82" i="19"/>
  <c r="O82" i="19" s="1"/>
  <c r="F82" i="19"/>
  <c r="O81" i="19"/>
  <c r="N81" i="19"/>
  <c r="M81" i="19"/>
  <c r="L81" i="19"/>
  <c r="K81" i="19"/>
  <c r="J81" i="19"/>
  <c r="G81" i="19"/>
  <c r="O80" i="19"/>
  <c r="N80" i="19"/>
  <c r="M80" i="19"/>
  <c r="L80" i="19"/>
  <c r="X80" i="19" s="1"/>
  <c r="K80" i="19"/>
  <c r="J80" i="19"/>
  <c r="G80" i="19"/>
  <c r="O79" i="19"/>
  <c r="N79" i="19"/>
  <c r="M79" i="19"/>
  <c r="L79" i="19"/>
  <c r="X79" i="19" s="1"/>
  <c r="K79" i="19"/>
  <c r="J79" i="19"/>
  <c r="F79" i="19"/>
  <c r="O78" i="19"/>
  <c r="N78" i="19"/>
  <c r="M78" i="19"/>
  <c r="L78" i="19"/>
  <c r="K78" i="19"/>
  <c r="J78" i="19"/>
  <c r="F78" i="19"/>
  <c r="G76" i="19"/>
  <c r="F76" i="19"/>
  <c r="G75" i="19"/>
  <c r="F75" i="19"/>
  <c r="G74" i="19"/>
  <c r="F74" i="19"/>
  <c r="G73" i="19"/>
  <c r="F73" i="19"/>
  <c r="F70" i="19"/>
  <c r="F69" i="19"/>
  <c r="G68" i="19"/>
  <c r="G67" i="19"/>
  <c r="F67" i="19"/>
  <c r="F66" i="19"/>
  <c r="G66" i="19"/>
  <c r="F68" i="19"/>
  <c r="G65" i="19"/>
  <c r="G64" i="19"/>
  <c r="G63" i="19"/>
  <c r="F62" i="19"/>
  <c r="F61" i="19"/>
  <c r="J62" i="19"/>
  <c r="L62" i="19" s="1"/>
  <c r="K62" i="19"/>
  <c r="M62" i="19" s="1"/>
  <c r="J63" i="19"/>
  <c r="L63" i="19" s="1"/>
  <c r="K63" i="19"/>
  <c r="M63" i="19" s="1"/>
  <c r="J64" i="19"/>
  <c r="N64" i="19" s="1"/>
  <c r="K64" i="19"/>
  <c r="M64" i="19" s="1"/>
  <c r="J65" i="19"/>
  <c r="L65" i="19" s="1"/>
  <c r="K65" i="19"/>
  <c r="M65" i="19" s="1"/>
  <c r="J66" i="19"/>
  <c r="L66" i="19" s="1"/>
  <c r="K66" i="19"/>
  <c r="M66" i="19" s="1"/>
  <c r="J67" i="19"/>
  <c r="K67" i="19"/>
  <c r="O67" i="19" s="1"/>
  <c r="J68" i="19"/>
  <c r="L68" i="19" s="1"/>
  <c r="K68" i="19"/>
  <c r="M68" i="19" s="1"/>
  <c r="J69" i="19"/>
  <c r="L69" i="19" s="1"/>
  <c r="K69" i="19"/>
  <c r="M69" i="19" s="1"/>
  <c r="J70" i="19"/>
  <c r="L70" i="19" s="1"/>
  <c r="K70" i="19"/>
  <c r="M70" i="19" s="1"/>
  <c r="J71" i="19"/>
  <c r="L71" i="19" s="1"/>
  <c r="K71" i="19"/>
  <c r="M71" i="19" s="1"/>
  <c r="J72" i="19"/>
  <c r="L72" i="19" s="1"/>
  <c r="K72" i="19"/>
  <c r="M72" i="19" s="1"/>
  <c r="J73" i="19"/>
  <c r="L73" i="19" s="1"/>
  <c r="K73" i="19"/>
  <c r="J74" i="19"/>
  <c r="N74" i="19" s="1"/>
  <c r="K74" i="19"/>
  <c r="M74" i="19" s="1"/>
  <c r="J75" i="19"/>
  <c r="L75" i="19" s="1"/>
  <c r="K75" i="19"/>
  <c r="M75" i="19" s="1"/>
  <c r="J76" i="19"/>
  <c r="K76" i="19"/>
  <c r="M76" i="19" s="1"/>
  <c r="J77" i="19"/>
  <c r="K77" i="19"/>
  <c r="J61" i="19"/>
  <c r="L61" i="19" s="1"/>
  <c r="K61" i="19"/>
  <c r="E86" i="17"/>
  <c r="P30" i="19"/>
  <c r="P31" i="19"/>
  <c r="P32" i="19"/>
  <c r="P33" i="19"/>
  <c r="P34" i="19"/>
  <c r="P35" i="19"/>
  <c r="P36" i="19"/>
  <c r="P37" i="19"/>
  <c r="P38" i="19"/>
  <c r="P29" i="19"/>
  <c r="J26" i="19"/>
  <c r="K26" i="19"/>
  <c r="J27" i="19"/>
  <c r="K27" i="19"/>
  <c r="J28" i="19"/>
  <c r="K28" i="19"/>
  <c r="J29" i="19"/>
  <c r="K29" i="19"/>
  <c r="J30" i="19"/>
  <c r="K30" i="19"/>
  <c r="J31" i="19"/>
  <c r="K31" i="19"/>
  <c r="J32" i="19"/>
  <c r="K32" i="19"/>
  <c r="J33" i="19"/>
  <c r="K33" i="19"/>
  <c r="J34" i="19"/>
  <c r="K34" i="19"/>
  <c r="J35" i="19"/>
  <c r="K35" i="19"/>
  <c r="J36" i="19"/>
  <c r="K36" i="19"/>
  <c r="J37" i="19"/>
  <c r="K37" i="19"/>
  <c r="J38" i="19"/>
  <c r="K38" i="19"/>
  <c r="K25" i="19"/>
  <c r="I25" i="19"/>
  <c r="J25" i="19"/>
  <c r="H25" i="19"/>
  <c r="P48" i="19"/>
  <c r="P49" i="19"/>
  <c r="P50" i="19"/>
  <c r="P51" i="19"/>
  <c r="P52" i="19"/>
  <c r="P53" i="19"/>
  <c r="P54" i="19"/>
  <c r="P55" i="19"/>
  <c r="P56" i="19"/>
  <c r="P47" i="19"/>
  <c r="H53" i="19"/>
  <c r="J44" i="19"/>
  <c r="K44" i="19"/>
  <c r="J45" i="19"/>
  <c r="K45" i="19"/>
  <c r="J46" i="19"/>
  <c r="K46" i="19"/>
  <c r="J47" i="19"/>
  <c r="K47" i="19"/>
  <c r="J48" i="19"/>
  <c r="K48" i="19"/>
  <c r="J49" i="19"/>
  <c r="K49" i="19"/>
  <c r="J50" i="19"/>
  <c r="K50" i="19"/>
  <c r="J51" i="19"/>
  <c r="K51" i="19"/>
  <c r="J52" i="19"/>
  <c r="K52" i="19"/>
  <c r="J53" i="19"/>
  <c r="K53" i="19"/>
  <c r="J54" i="19"/>
  <c r="K54" i="19"/>
  <c r="J55" i="19"/>
  <c r="K55" i="19"/>
  <c r="J56" i="19"/>
  <c r="K56" i="19"/>
  <c r="J43" i="19"/>
  <c r="K43" i="19"/>
  <c r="I43" i="19"/>
  <c r="H43" i="19"/>
  <c r="E43" i="19"/>
  <c r="P44" i="19"/>
  <c r="P43" i="19"/>
  <c r="P26" i="19"/>
  <c r="P25" i="19"/>
  <c r="G46" i="19"/>
  <c r="F46" i="19"/>
  <c r="A46" i="19"/>
  <c r="I46" i="19" s="1"/>
  <c r="G45" i="19"/>
  <c r="F45" i="19"/>
  <c r="A45" i="19"/>
  <c r="P45" i="19" s="1"/>
  <c r="G28" i="19"/>
  <c r="F28" i="19"/>
  <c r="A28" i="19"/>
  <c r="H28" i="19" s="1"/>
  <c r="G27" i="19"/>
  <c r="F27" i="19"/>
  <c r="A27" i="19"/>
  <c r="P27" i="19" s="1"/>
  <c r="I47" i="19"/>
  <c r="I48" i="19"/>
  <c r="I49" i="19"/>
  <c r="I50" i="19"/>
  <c r="I51" i="19"/>
  <c r="G56" i="19"/>
  <c r="F56" i="19"/>
  <c r="G55" i="19"/>
  <c r="F55" i="19"/>
  <c r="G54" i="19"/>
  <c r="F54" i="19"/>
  <c r="G53" i="19"/>
  <c r="F53" i="19"/>
  <c r="G52" i="19"/>
  <c r="F52" i="19"/>
  <c r="G51" i="19"/>
  <c r="E51" i="19" s="1"/>
  <c r="H51" i="19" s="1"/>
  <c r="F51" i="19"/>
  <c r="G50" i="19"/>
  <c r="E50" i="19" s="1"/>
  <c r="H50" i="19" s="1"/>
  <c r="F50" i="19"/>
  <c r="G49" i="19"/>
  <c r="E49" i="19" s="1"/>
  <c r="F49" i="19"/>
  <c r="G48" i="19"/>
  <c r="E48" i="19" s="1"/>
  <c r="F48" i="19"/>
  <c r="G47" i="19"/>
  <c r="E47" i="19" s="1"/>
  <c r="H47" i="19" s="1"/>
  <c r="F47" i="19"/>
  <c r="A53" i="19"/>
  <c r="I53" i="19" s="1"/>
  <c r="A54" i="19"/>
  <c r="A55" i="19"/>
  <c r="E55" i="19" s="1"/>
  <c r="H55" i="19" s="1"/>
  <c r="A56" i="19"/>
  <c r="I56" i="19" s="1"/>
  <c r="A52" i="19"/>
  <c r="A38" i="19"/>
  <c r="H38" i="19" s="1"/>
  <c r="A34" i="19"/>
  <c r="A35" i="19"/>
  <c r="A36" i="19"/>
  <c r="H36" i="19" s="1"/>
  <c r="A37" i="19"/>
  <c r="G38" i="19"/>
  <c r="F38" i="19"/>
  <c r="G37" i="19"/>
  <c r="F37" i="19"/>
  <c r="G36" i="19"/>
  <c r="F36" i="19"/>
  <c r="G35" i="19"/>
  <c r="F35" i="19"/>
  <c r="F29" i="19"/>
  <c r="E29" i="19" s="1"/>
  <c r="G29" i="19"/>
  <c r="H29" i="19"/>
  <c r="F30" i="19"/>
  <c r="E30" i="19" s="1"/>
  <c r="G30" i="19"/>
  <c r="H30" i="19"/>
  <c r="F31" i="19"/>
  <c r="E31" i="19" s="1"/>
  <c r="I31" i="19" s="1"/>
  <c r="G31" i="19"/>
  <c r="H31" i="19"/>
  <c r="F32" i="19"/>
  <c r="E32" i="19" s="1"/>
  <c r="G32" i="19"/>
  <c r="H32" i="19"/>
  <c r="F33" i="19"/>
  <c r="E33" i="19" s="1"/>
  <c r="G33" i="19"/>
  <c r="H33" i="19"/>
  <c r="F34" i="19"/>
  <c r="G34" i="19"/>
  <c r="I44" i="19"/>
  <c r="H26" i="19"/>
  <c r="G44" i="19"/>
  <c r="E44" i="19" s="1"/>
  <c r="F44" i="19"/>
  <c r="G43" i="19"/>
  <c r="F43" i="19"/>
  <c r="G26" i="19"/>
  <c r="F26" i="19"/>
  <c r="E26" i="19" s="1"/>
  <c r="G25" i="19"/>
  <c r="F25" i="19"/>
  <c r="E25" i="19" s="1"/>
  <c r="N5" i="19"/>
  <c r="N8" i="19" s="1"/>
  <c r="O8" i="19" s="1"/>
  <c r="B20" i="19"/>
  <c r="C20" i="19" s="1"/>
  <c r="B19" i="19"/>
  <c r="C19" i="19" s="1"/>
  <c r="B18" i="19"/>
  <c r="C18" i="19" s="1"/>
  <c r="E18" i="19" s="1"/>
  <c r="B17" i="19"/>
  <c r="C17" i="19" s="1"/>
  <c r="B16" i="19"/>
  <c r="C16" i="19" s="1"/>
  <c r="C15" i="19"/>
  <c r="E15" i="19" s="1"/>
  <c r="C9" i="19"/>
  <c r="E9" i="19" s="1"/>
  <c r="C3" i="19"/>
  <c r="E3" i="19" s="1"/>
  <c r="B8" i="19"/>
  <c r="C8" i="19" s="1"/>
  <c r="B7" i="19"/>
  <c r="C7" i="19" s="1"/>
  <c r="B6" i="19"/>
  <c r="C6" i="19" s="1"/>
  <c r="E6" i="19" s="1"/>
  <c r="B5" i="19"/>
  <c r="B4" i="19"/>
  <c r="B13" i="19"/>
  <c r="B12" i="19"/>
  <c r="B10" i="19"/>
  <c r="B11" i="19"/>
  <c r="C11" i="19" s="1"/>
  <c r="F67" i="14"/>
  <c r="F68" i="14"/>
  <c r="F69" i="14"/>
  <c r="F70" i="14"/>
  <c r="F71" i="14"/>
  <c r="I71" i="14" s="1"/>
  <c r="F72" i="14"/>
  <c r="X72" i="14" s="1"/>
  <c r="F73" i="14"/>
  <c r="F74" i="14"/>
  <c r="N74" i="14" s="1"/>
  <c r="AL74" i="14" s="1"/>
  <c r="F75" i="14"/>
  <c r="F76" i="14"/>
  <c r="F77" i="14"/>
  <c r="X77" i="14" s="1"/>
  <c r="G67" i="14"/>
  <c r="N68" i="14"/>
  <c r="AM68" i="14" s="1"/>
  <c r="N71" i="14"/>
  <c r="X73" i="14"/>
  <c r="X75" i="14"/>
  <c r="F66" i="14"/>
  <c r="N66" i="14" s="1"/>
  <c r="AL66" i="14" s="1"/>
  <c r="AE77" i="14"/>
  <c r="AD77" i="14"/>
  <c r="W77" i="14"/>
  <c r="T77" i="14"/>
  <c r="AS77" i="14" s="1"/>
  <c r="M77" i="14"/>
  <c r="J77" i="14"/>
  <c r="AI77" i="14" s="1"/>
  <c r="H77" i="14"/>
  <c r="C77" i="14"/>
  <c r="AF77" i="14" s="1"/>
  <c r="AF76" i="14"/>
  <c r="AJ76" i="14" s="1"/>
  <c r="AE76" i="14"/>
  <c r="AD76" i="14"/>
  <c r="W76" i="14"/>
  <c r="T76" i="14"/>
  <c r="AR76" i="14" s="1"/>
  <c r="M76" i="14"/>
  <c r="J76" i="14"/>
  <c r="AI76" i="14" s="1"/>
  <c r="H76" i="14"/>
  <c r="X76" i="14"/>
  <c r="C76" i="14"/>
  <c r="AE75" i="14"/>
  <c r="AD75" i="14"/>
  <c r="W75" i="14"/>
  <c r="T75" i="14"/>
  <c r="M75" i="14"/>
  <c r="J75" i="14"/>
  <c r="H75" i="14"/>
  <c r="C75" i="14"/>
  <c r="AF75" i="14" s="1"/>
  <c r="AE74" i="14"/>
  <c r="AD74" i="14"/>
  <c r="W74" i="14"/>
  <c r="T74" i="14"/>
  <c r="M74" i="14"/>
  <c r="J74" i="14"/>
  <c r="AH74" i="14" s="1"/>
  <c r="H74" i="14"/>
  <c r="C74" i="14"/>
  <c r="AF74" i="14" s="1"/>
  <c r="AE73" i="14"/>
  <c r="AD73" i="14"/>
  <c r="W73" i="14"/>
  <c r="T73" i="14"/>
  <c r="M73" i="14"/>
  <c r="J73" i="14"/>
  <c r="H73" i="14"/>
  <c r="C73" i="14"/>
  <c r="AF73" i="14" s="1"/>
  <c r="AE72" i="14"/>
  <c r="AD72" i="14"/>
  <c r="W72" i="14"/>
  <c r="T72" i="14"/>
  <c r="M72" i="14"/>
  <c r="J72" i="14"/>
  <c r="AI72" i="14" s="1"/>
  <c r="I72" i="14"/>
  <c r="H72" i="14"/>
  <c r="C72" i="14"/>
  <c r="AF72" i="14" s="1"/>
  <c r="AS71" i="14"/>
  <c r="AR71" i="14"/>
  <c r="AJ71" i="14"/>
  <c r="AI71" i="14"/>
  <c r="AF71" i="14"/>
  <c r="AU71" i="14" s="1"/>
  <c r="AE71" i="14"/>
  <c r="AD71" i="14"/>
  <c r="W71" i="14"/>
  <c r="T71" i="14"/>
  <c r="M71" i="14"/>
  <c r="J71" i="14"/>
  <c r="AH71" i="14" s="1"/>
  <c r="H71" i="14"/>
  <c r="C71" i="14"/>
  <c r="AR70" i="14"/>
  <c r="AJ70" i="14"/>
  <c r="AI70" i="14"/>
  <c r="AH70" i="14"/>
  <c r="AF70" i="14"/>
  <c r="AT70" i="14" s="1"/>
  <c r="AE70" i="14"/>
  <c r="AD70" i="14"/>
  <c r="X70" i="14"/>
  <c r="AW70" i="14" s="1"/>
  <c r="W70" i="14"/>
  <c r="AU70" i="14" s="1"/>
  <c r="T70" i="14"/>
  <c r="AS70" i="14" s="1"/>
  <c r="M70" i="14"/>
  <c r="J70" i="14"/>
  <c r="I70" i="14"/>
  <c r="H70" i="14"/>
  <c r="N70" i="14"/>
  <c r="AF69" i="14"/>
  <c r="AJ69" i="14" s="1"/>
  <c r="AE69" i="14"/>
  <c r="AD69" i="14"/>
  <c r="W69" i="14"/>
  <c r="T69" i="14"/>
  <c r="AR69" i="14" s="1"/>
  <c r="M69" i="14"/>
  <c r="J69" i="14"/>
  <c r="AI69" i="14" s="1"/>
  <c r="H69" i="14"/>
  <c r="X69" i="14"/>
  <c r="AT68" i="14"/>
  <c r="AF68" i="14"/>
  <c r="AG68" i="14" s="1"/>
  <c r="AE68" i="14"/>
  <c r="AU68" i="14" s="1"/>
  <c r="AD68" i="14"/>
  <c r="W68" i="14"/>
  <c r="T68" i="14"/>
  <c r="AS68" i="14" s="1"/>
  <c r="M68" i="14"/>
  <c r="J68" i="14"/>
  <c r="AH68" i="14" s="1"/>
  <c r="H68" i="14"/>
  <c r="AS67" i="14"/>
  <c r="AR67" i="14"/>
  <c r="AJ67" i="14"/>
  <c r="AG67" i="14"/>
  <c r="AF67" i="14"/>
  <c r="AU67" i="14" s="1"/>
  <c r="AE67" i="14"/>
  <c r="AD67" i="14"/>
  <c r="AT67" i="14" s="1"/>
  <c r="W67" i="14"/>
  <c r="T67" i="14"/>
  <c r="M67" i="14"/>
  <c r="AK67" i="14" s="1"/>
  <c r="J67" i="14"/>
  <c r="AI67" i="14" s="1"/>
  <c r="H67" i="14"/>
  <c r="AR66" i="14"/>
  <c r="AJ66" i="14"/>
  <c r="AI66" i="14"/>
  <c r="AH66" i="14"/>
  <c r="AF66" i="14"/>
  <c r="AG66" i="14" s="1"/>
  <c r="AE66" i="14"/>
  <c r="AD66" i="14"/>
  <c r="X66" i="14"/>
  <c r="AW66" i="14" s="1"/>
  <c r="W66" i="14"/>
  <c r="AT66" i="14" s="1"/>
  <c r="T66" i="14"/>
  <c r="AS66" i="14" s="1"/>
  <c r="M66" i="14"/>
  <c r="AK66" i="14" s="1"/>
  <c r="J66" i="14"/>
  <c r="H66" i="14"/>
  <c r="G66" i="14"/>
  <c r="E50" i="14"/>
  <c r="W50" i="14" s="1"/>
  <c r="F50" i="14"/>
  <c r="G50" i="14"/>
  <c r="H50" i="14"/>
  <c r="I50" i="14"/>
  <c r="E51" i="14"/>
  <c r="M51" i="14" s="1"/>
  <c r="F51" i="14"/>
  <c r="I51" i="14" s="1"/>
  <c r="G51" i="14"/>
  <c r="H51" i="14"/>
  <c r="E52" i="14"/>
  <c r="F52" i="14"/>
  <c r="G52" i="14"/>
  <c r="H52" i="14"/>
  <c r="I52" i="14"/>
  <c r="E53" i="14"/>
  <c r="W53" i="14" s="1"/>
  <c r="F53" i="14"/>
  <c r="I53" i="14" s="1"/>
  <c r="G53" i="14"/>
  <c r="H53" i="14"/>
  <c r="E54" i="14"/>
  <c r="F54" i="14"/>
  <c r="G54" i="14"/>
  <c r="H54" i="14"/>
  <c r="I54" i="14"/>
  <c r="E55" i="14"/>
  <c r="F55" i="14"/>
  <c r="G55" i="14"/>
  <c r="H55" i="14"/>
  <c r="I55" i="14"/>
  <c r="E56" i="14"/>
  <c r="W56" i="14" s="1"/>
  <c r="F56" i="14"/>
  <c r="N56" i="14" s="1"/>
  <c r="G56" i="14"/>
  <c r="H56" i="14"/>
  <c r="E57" i="14"/>
  <c r="F57" i="14"/>
  <c r="G57" i="14"/>
  <c r="H57" i="14"/>
  <c r="I57" i="14"/>
  <c r="E58" i="14"/>
  <c r="W58" i="14" s="1"/>
  <c r="F58" i="14"/>
  <c r="G58" i="14"/>
  <c r="H58" i="14"/>
  <c r="I58" i="14"/>
  <c r="E59" i="14"/>
  <c r="M59" i="14" s="1"/>
  <c r="F59" i="14"/>
  <c r="I59" i="14" s="1"/>
  <c r="G59" i="14"/>
  <c r="H59" i="14"/>
  <c r="E60" i="14"/>
  <c r="F60" i="14"/>
  <c r="G60" i="14"/>
  <c r="H60" i="14"/>
  <c r="I60" i="14"/>
  <c r="R50" i="14"/>
  <c r="N55" i="14"/>
  <c r="M52" i="14"/>
  <c r="M54" i="14"/>
  <c r="N54" i="14"/>
  <c r="M55" i="14"/>
  <c r="M57" i="14"/>
  <c r="M58" i="14"/>
  <c r="M60" i="14"/>
  <c r="E49" i="14"/>
  <c r="W49" i="14" s="1"/>
  <c r="H49" i="14"/>
  <c r="G49" i="14"/>
  <c r="F49" i="14"/>
  <c r="N49" i="14" s="1"/>
  <c r="AE60" i="14"/>
  <c r="AD60" i="14"/>
  <c r="W60" i="14"/>
  <c r="T60" i="14"/>
  <c r="J60" i="14"/>
  <c r="C60" i="14"/>
  <c r="AF60" i="14" s="1"/>
  <c r="AE59" i="14"/>
  <c r="AD59" i="14"/>
  <c r="W59" i="14"/>
  <c r="T59" i="14"/>
  <c r="J59" i="14"/>
  <c r="C59" i="14"/>
  <c r="AF59" i="14" s="1"/>
  <c r="AE58" i="14"/>
  <c r="AD58" i="14"/>
  <c r="T58" i="14"/>
  <c r="J58" i="14"/>
  <c r="C58" i="14"/>
  <c r="AF58" i="14" s="1"/>
  <c r="AE57" i="14"/>
  <c r="AD57" i="14"/>
  <c r="W57" i="14"/>
  <c r="T57" i="14"/>
  <c r="J57" i="14"/>
  <c r="C57" i="14"/>
  <c r="AF57" i="14" s="1"/>
  <c r="AE56" i="14"/>
  <c r="AD56" i="14"/>
  <c r="T56" i="14"/>
  <c r="J56" i="14"/>
  <c r="C56" i="14"/>
  <c r="AF56" i="14" s="1"/>
  <c r="AE55" i="14"/>
  <c r="AD55" i="14"/>
  <c r="W55" i="14"/>
  <c r="T55" i="14"/>
  <c r="J55" i="14"/>
  <c r="C55" i="14"/>
  <c r="AF55" i="14" s="1"/>
  <c r="AE54" i="14"/>
  <c r="AD54" i="14"/>
  <c r="W54" i="14"/>
  <c r="T54" i="14"/>
  <c r="J54" i="14"/>
  <c r="C54" i="14"/>
  <c r="AF54" i="14" s="1"/>
  <c r="AF53" i="14"/>
  <c r="AE53" i="14"/>
  <c r="AD53" i="14"/>
  <c r="T53" i="14"/>
  <c r="M53" i="14"/>
  <c r="AK53" i="14" s="1"/>
  <c r="J53" i="14"/>
  <c r="AH53" i="14" s="1"/>
  <c r="AF52" i="14"/>
  <c r="AE52" i="14"/>
  <c r="AD52" i="14"/>
  <c r="W52" i="14"/>
  <c r="T52" i="14"/>
  <c r="AS52" i="14" s="1"/>
  <c r="J52" i="14"/>
  <c r="AF51" i="14"/>
  <c r="AG51" i="14" s="1"/>
  <c r="AE51" i="14"/>
  <c r="AI51" i="14" s="1"/>
  <c r="AD51" i="14"/>
  <c r="T51" i="14"/>
  <c r="J51" i="14"/>
  <c r="AF50" i="14"/>
  <c r="AE50" i="14"/>
  <c r="AD50" i="14"/>
  <c r="T50" i="14"/>
  <c r="J50" i="14"/>
  <c r="N50" i="14"/>
  <c r="AF49" i="14"/>
  <c r="AE49" i="14"/>
  <c r="AD49" i="14"/>
  <c r="T49" i="14"/>
  <c r="J49" i="14"/>
  <c r="J27" i="14"/>
  <c r="T27" i="14"/>
  <c r="AE26" i="14"/>
  <c r="AD26" i="14"/>
  <c r="W26" i="14"/>
  <c r="T26" i="14"/>
  <c r="M26" i="14"/>
  <c r="J26" i="14"/>
  <c r="H26" i="14"/>
  <c r="F26" i="14"/>
  <c r="X26" i="14" s="1"/>
  <c r="C26" i="14"/>
  <c r="AF26" i="14" s="1"/>
  <c r="AE25" i="14"/>
  <c r="AD25" i="14"/>
  <c r="W25" i="14"/>
  <c r="T25" i="14"/>
  <c r="M25" i="14"/>
  <c r="J25" i="14"/>
  <c r="H25" i="14"/>
  <c r="F25" i="14"/>
  <c r="G25" i="14" s="1"/>
  <c r="C25" i="14"/>
  <c r="AF25" i="14" s="1"/>
  <c r="AE24" i="14"/>
  <c r="AD24" i="14"/>
  <c r="W24" i="14"/>
  <c r="T24" i="14"/>
  <c r="M24" i="14"/>
  <c r="J24" i="14"/>
  <c r="H24" i="14"/>
  <c r="F24" i="14"/>
  <c r="G24" i="14" s="1"/>
  <c r="C24" i="14"/>
  <c r="AF24" i="14" s="1"/>
  <c r="AE23" i="14"/>
  <c r="AD23" i="14"/>
  <c r="W23" i="14"/>
  <c r="T23" i="14"/>
  <c r="M23" i="14"/>
  <c r="J23" i="14"/>
  <c r="H23" i="14"/>
  <c r="F23" i="14"/>
  <c r="N23" i="14" s="1"/>
  <c r="C23" i="14"/>
  <c r="AF23" i="14" s="1"/>
  <c r="AE22" i="14"/>
  <c r="AD22" i="14"/>
  <c r="W22" i="14"/>
  <c r="T22" i="14"/>
  <c r="M22" i="14"/>
  <c r="J22" i="14"/>
  <c r="H22" i="14"/>
  <c r="F22" i="14"/>
  <c r="G22" i="14" s="1"/>
  <c r="C22" i="14"/>
  <c r="AF22" i="14" s="1"/>
  <c r="AG22" i="14" s="1"/>
  <c r="AE21" i="14"/>
  <c r="AD21" i="14"/>
  <c r="W21" i="14"/>
  <c r="T21" i="14"/>
  <c r="M21" i="14"/>
  <c r="J21" i="14"/>
  <c r="H21" i="14"/>
  <c r="F21" i="14"/>
  <c r="N21" i="14" s="1"/>
  <c r="C21" i="14"/>
  <c r="AF21" i="14" s="1"/>
  <c r="AE20" i="14"/>
  <c r="AD20" i="14"/>
  <c r="W20" i="14"/>
  <c r="T20" i="14"/>
  <c r="M20" i="14"/>
  <c r="J20" i="14"/>
  <c r="H20" i="14"/>
  <c r="F20" i="14"/>
  <c r="N20" i="14" s="1"/>
  <c r="C20" i="14"/>
  <c r="AF20" i="14" s="1"/>
  <c r="AG19" i="14"/>
  <c r="AF19" i="14"/>
  <c r="AE19" i="14"/>
  <c r="AD19" i="14"/>
  <c r="W19" i="14"/>
  <c r="AT19" i="14" s="1"/>
  <c r="T19" i="14"/>
  <c r="M19" i="14"/>
  <c r="J19" i="14"/>
  <c r="AH19" i="14" s="1"/>
  <c r="H19" i="14"/>
  <c r="F19" i="14"/>
  <c r="X19" i="14" s="1"/>
  <c r="AF18" i="14"/>
  <c r="AE18" i="14"/>
  <c r="AD18" i="14"/>
  <c r="W18" i="14"/>
  <c r="T18" i="14"/>
  <c r="M18" i="14"/>
  <c r="J18" i="14"/>
  <c r="H18" i="14"/>
  <c r="F18" i="14"/>
  <c r="X18" i="14" s="1"/>
  <c r="AF17" i="14"/>
  <c r="AG17" i="14" s="1"/>
  <c r="AE17" i="14"/>
  <c r="AD17" i="14"/>
  <c r="W17" i="14"/>
  <c r="T17" i="14"/>
  <c r="AR17" i="14" s="1"/>
  <c r="M17" i="14"/>
  <c r="J17" i="14"/>
  <c r="H17" i="14"/>
  <c r="F17" i="14"/>
  <c r="G17" i="14" s="1"/>
  <c r="AF16" i="14"/>
  <c r="AE16" i="14"/>
  <c r="AD16" i="14"/>
  <c r="W16" i="14"/>
  <c r="T16" i="14"/>
  <c r="M16" i="14"/>
  <c r="J16" i="14"/>
  <c r="H16" i="14"/>
  <c r="F16" i="14"/>
  <c r="N16" i="14" s="1"/>
  <c r="AF15" i="14"/>
  <c r="AE15" i="14"/>
  <c r="AD15" i="14"/>
  <c r="W15" i="14"/>
  <c r="T15" i="14"/>
  <c r="M15" i="14"/>
  <c r="J15" i="14"/>
  <c r="AH15" i="14" s="1"/>
  <c r="H15" i="14"/>
  <c r="F15" i="14"/>
  <c r="N15" i="14" s="1"/>
  <c r="C43" i="14"/>
  <c r="AF43" i="14" s="1"/>
  <c r="AE43" i="14"/>
  <c r="AD43" i="14"/>
  <c r="W43" i="14"/>
  <c r="T43" i="14"/>
  <c r="M43" i="14"/>
  <c r="J43" i="14"/>
  <c r="H43" i="14"/>
  <c r="F43" i="14"/>
  <c r="N43" i="14" s="1"/>
  <c r="C42" i="14"/>
  <c r="AF42" i="14" s="1"/>
  <c r="C40" i="14"/>
  <c r="AF40" i="14" s="1"/>
  <c r="C38" i="14"/>
  <c r="AF38" i="14" s="1"/>
  <c r="AE42" i="14"/>
  <c r="AD42" i="14"/>
  <c r="W42" i="14"/>
  <c r="T42" i="14"/>
  <c r="M42" i="14"/>
  <c r="J42" i="14"/>
  <c r="H42" i="14"/>
  <c r="F42" i="14"/>
  <c r="X42" i="14" s="1"/>
  <c r="AE40" i="14"/>
  <c r="AD40" i="14"/>
  <c r="W40" i="14"/>
  <c r="T40" i="14"/>
  <c r="M40" i="14"/>
  <c r="J40" i="14"/>
  <c r="H40" i="14"/>
  <c r="F40" i="14"/>
  <c r="X40" i="14" s="1"/>
  <c r="AE38" i="14"/>
  <c r="AD38" i="14"/>
  <c r="W38" i="14"/>
  <c r="T38" i="14"/>
  <c r="M38" i="14"/>
  <c r="J38" i="14"/>
  <c r="H38" i="14"/>
  <c r="F38" i="14"/>
  <c r="X38" i="14" s="1"/>
  <c r="C41" i="14"/>
  <c r="AF41" i="14" s="1"/>
  <c r="AE41" i="14"/>
  <c r="AD41" i="14"/>
  <c r="W41" i="14"/>
  <c r="T41" i="14"/>
  <c r="M41" i="14"/>
  <c r="J41" i="14"/>
  <c r="H41" i="14"/>
  <c r="F41" i="14"/>
  <c r="X41" i="14" s="1"/>
  <c r="C39" i="14"/>
  <c r="AF39" i="14" s="1"/>
  <c r="AE39" i="14"/>
  <c r="AD39" i="14"/>
  <c r="W39" i="14"/>
  <c r="T39" i="14"/>
  <c r="M39" i="14"/>
  <c r="J39" i="14"/>
  <c r="H39" i="14"/>
  <c r="F39" i="14"/>
  <c r="G39" i="14" s="1"/>
  <c r="C37" i="14"/>
  <c r="AF37" i="14" s="1"/>
  <c r="AG37" i="14" s="1"/>
  <c r="AE37" i="14"/>
  <c r="AD37" i="14"/>
  <c r="W37" i="14"/>
  <c r="T37" i="14"/>
  <c r="M37" i="14"/>
  <c r="J37" i="14"/>
  <c r="H37" i="14"/>
  <c r="F37" i="14"/>
  <c r="X37" i="14" s="1"/>
  <c r="AF36" i="14"/>
  <c r="AG36" i="14" s="1"/>
  <c r="AE36" i="14"/>
  <c r="AD36" i="14"/>
  <c r="W36" i="14"/>
  <c r="T36" i="14"/>
  <c r="M36" i="14"/>
  <c r="J36" i="14"/>
  <c r="H36" i="14"/>
  <c r="F36" i="14"/>
  <c r="X36" i="14" s="1"/>
  <c r="AF35" i="14"/>
  <c r="AG35" i="14" s="1"/>
  <c r="AE35" i="14"/>
  <c r="AD35" i="14"/>
  <c r="W35" i="14"/>
  <c r="T35" i="14"/>
  <c r="M35" i="14"/>
  <c r="J35" i="14"/>
  <c r="H35" i="14"/>
  <c r="F35" i="14"/>
  <c r="X35" i="14" s="1"/>
  <c r="AV35" i="14" s="1"/>
  <c r="AF34" i="14"/>
  <c r="AG34" i="14" s="1"/>
  <c r="AE34" i="14"/>
  <c r="AD34" i="14"/>
  <c r="W34" i="14"/>
  <c r="T34" i="14"/>
  <c r="M34" i="14"/>
  <c r="J34" i="14"/>
  <c r="H34" i="14"/>
  <c r="F34" i="14"/>
  <c r="X34" i="14" s="1"/>
  <c r="AF33" i="14"/>
  <c r="AG33" i="14" s="1"/>
  <c r="AE33" i="14"/>
  <c r="AD33" i="14"/>
  <c r="W33" i="14"/>
  <c r="T33" i="14"/>
  <c r="M33" i="14"/>
  <c r="J33" i="14"/>
  <c r="H33" i="14"/>
  <c r="F33" i="14"/>
  <c r="X33" i="14" s="1"/>
  <c r="W32" i="14"/>
  <c r="T32" i="14"/>
  <c r="M32" i="14"/>
  <c r="J32" i="14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11" i="16"/>
  <c r="AF32" i="14"/>
  <c r="AG32" i="14" s="1"/>
  <c r="AE32" i="14"/>
  <c r="AD32" i="14"/>
  <c r="H32" i="14"/>
  <c r="F32" i="14"/>
  <c r="I32" i="14" s="1"/>
  <c r="U70" i="19" l="1"/>
  <c r="X83" i="19"/>
  <c r="X81" i="19"/>
  <c r="X82" i="19"/>
  <c r="X78" i="19"/>
  <c r="M61" i="19"/>
  <c r="X85" i="19"/>
  <c r="X90" i="19"/>
  <c r="X91" i="19"/>
  <c r="X84" i="19"/>
  <c r="O86" i="19"/>
  <c r="X86" i="19" s="1"/>
  <c r="O87" i="19"/>
  <c r="X87" i="19" s="1"/>
  <c r="L88" i="19"/>
  <c r="X88" i="19" s="1"/>
  <c r="L89" i="19"/>
  <c r="X89" i="19" s="1"/>
  <c r="N67" i="19"/>
  <c r="O73" i="19"/>
  <c r="N76" i="19"/>
  <c r="N71" i="19"/>
  <c r="N70" i="19"/>
  <c r="L64" i="19"/>
  <c r="N65" i="19"/>
  <c r="O63" i="19"/>
  <c r="L76" i="19"/>
  <c r="O75" i="19"/>
  <c r="N75" i="19"/>
  <c r="X75" i="19" s="1"/>
  <c r="N69" i="19"/>
  <c r="N63" i="19"/>
  <c r="X63" i="19" s="1"/>
  <c r="M67" i="19"/>
  <c r="O71" i="19"/>
  <c r="U71" i="19" s="1"/>
  <c r="L74" i="19"/>
  <c r="L67" i="19"/>
  <c r="N66" i="19"/>
  <c r="O70" i="19"/>
  <c r="N68" i="19"/>
  <c r="N73" i="19"/>
  <c r="M73" i="19"/>
  <c r="O72" i="19"/>
  <c r="O76" i="19"/>
  <c r="O74" i="19"/>
  <c r="N72" i="19"/>
  <c r="O62" i="19"/>
  <c r="O68" i="19"/>
  <c r="O69" i="19"/>
  <c r="O64" i="19"/>
  <c r="N62" i="19"/>
  <c r="O65" i="19"/>
  <c r="O66" i="19"/>
  <c r="E35" i="19"/>
  <c r="I35" i="19" s="1"/>
  <c r="H35" i="19"/>
  <c r="I29" i="19"/>
  <c r="E36" i="19"/>
  <c r="I36" i="19" s="1"/>
  <c r="H44" i="19"/>
  <c r="H48" i="19"/>
  <c r="E27" i="19"/>
  <c r="I27" i="19" s="1"/>
  <c r="H49" i="19"/>
  <c r="E45" i="19"/>
  <c r="H45" i="19" s="1"/>
  <c r="I26" i="19"/>
  <c r="H27" i="19"/>
  <c r="I45" i="19"/>
  <c r="H34" i="19"/>
  <c r="E56" i="19"/>
  <c r="H56" i="19" s="1"/>
  <c r="E53" i="19"/>
  <c r="I55" i="19"/>
  <c r="E46" i="19"/>
  <c r="H46" i="19" s="1"/>
  <c r="E52" i="19"/>
  <c r="H52" i="19" s="1"/>
  <c r="I52" i="19"/>
  <c r="E34" i="19"/>
  <c r="I34" i="19" s="1"/>
  <c r="E38" i="19"/>
  <c r="I38" i="19" s="1"/>
  <c r="E54" i="19"/>
  <c r="H54" i="19" s="1"/>
  <c r="P46" i="19"/>
  <c r="I33" i="19"/>
  <c r="P28" i="19"/>
  <c r="I32" i="19"/>
  <c r="I54" i="19"/>
  <c r="I30" i="19"/>
  <c r="E28" i="19"/>
  <c r="I28" i="19" s="1"/>
  <c r="H37" i="19"/>
  <c r="E37" i="19"/>
  <c r="I37" i="19" s="1"/>
  <c r="E11" i="19"/>
  <c r="E8" i="19"/>
  <c r="C12" i="19"/>
  <c r="E12" i="19" s="1"/>
  <c r="C13" i="19"/>
  <c r="E13" i="19" s="1"/>
  <c r="C5" i="19"/>
  <c r="E5" i="19" s="1"/>
  <c r="E20" i="19"/>
  <c r="C4" i="19"/>
  <c r="E4" i="19" s="1"/>
  <c r="E7" i="19"/>
  <c r="E19" i="19"/>
  <c r="C10" i="19"/>
  <c r="E10" i="19" s="1"/>
  <c r="E17" i="19"/>
  <c r="E16" i="19"/>
  <c r="O6" i="19"/>
  <c r="G74" i="14"/>
  <c r="X71" i="14"/>
  <c r="AV71" i="14" s="1"/>
  <c r="N72" i="14"/>
  <c r="G72" i="14"/>
  <c r="R72" i="14" s="1"/>
  <c r="X74" i="14"/>
  <c r="AW74" i="14" s="1"/>
  <c r="I74" i="14"/>
  <c r="G68" i="14"/>
  <c r="P68" i="14" s="1"/>
  <c r="G77" i="14"/>
  <c r="AB77" i="14" s="1"/>
  <c r="BA77" i="14" s="1"/>
  <c r="N77" i="14"/>
  <c r="AL77" i="14" s="1"/>
  <c r="R67" i="14"/>
  <c r="AP67" i="14" s="1"/>
  <c r="AB67" i="14"/>
  <c r="Z67" i="14"/>
  <c r="AY67" i="14" s="1"/>
  <c r="G73" i="14"/>
  <c r="P73" i="14" s="1"/>
  <c r="N67" i="14"/>
  <c r="AL67" i="14" s="1"/>
  <c r="Z72" i="14"/>
  <c r="AY72" i="14" s="1"/>
  <c r="I73" i="14"/>
  <c r="X67" i="14"/>
  <c r="AV67" i="14" s="1"/>
  <c r="N73" i="14"/>
  <c r="AM73" i="14" s="1"/>
  <c r="I66" i="14"/>
  <c r="AM66" i="14"/>
  <c r="AW73" i="14"/>
  <c r="AW75" i="14"/>
  <c r="AV75" i="14"/>
  <c r="AL70" i="14"/>
  <c r="AM70" i="14"/>
  <c r="AM71" i="14"/>
  <c r="AL71" i="14"/>
  <c r="AM72" i="14"/>
  <c r="AL72" i="14"/>
  <c r="AV72" i="14"/>
  <c r="AI75" i="14"/>
  <c r="AK77" i="14"/>
  <c r="AJ77" i="14"/>
  <c r="AH77" i="14"/>
  <c r="AU77" i="14"/>
  <c r="AT77" i="14"/>
  <c r="AG77" i="14"/>
  <c r="AG73" i="14"/>
  <c r="AS73" i="14"/>
  <c r="AU73" i="14"/>
  <c r="AT73" i="14"/>
  <c r="AK73" i="14"/>
  <c r="AR73" i="14"/>
  <c r="AJ73" i="14"/>
  <c r="AH73" i="14"/>
  <c r="AW69" i="14"/>
  <c r="AV69" i="14"/>
  <c r="AW76" i="14"/>
  <c r="AV76" i="14"/>
  <c r="AQ72" i="14"/>
  <c r="AP72" i="14"/>
  <c r="AI73" i="14"/>
  <c r="AG74" i="14"/>
  <c r="AT74" i="14"/>
  <c r="AS74" i="14"/>
  <c r="AK74" i="14"/>
  <c r="AR74" i="14"/>
  <c r="AJ74" i="14"/>
  <c r="AI74" i="14"/>
  <c r="AU74" i="14"/>
  <c r="AW77" i="14"/>
  <c r="AV77" i="14"/>
  <c r="Z68" i="14"/>
  <c r="AG75" i="14"/>
  <c r="AU75" i="14"/>
  <c r="AT75" i="14"/>
  <c r="AJ75" i="14"/>
  <c r="AS75" i="14"/>
  <c r="AK75" i="14"/>
  <c r="AR75" i="14"/>
  <c r="AU72" i="14"/>
  <c r="AJ72" i="14"/>
  <c r="AT72" i="14"/>
  <c r="AS72" i="14"/>
  <c r="AK72" i="14"/>
  <c r="AR72" i="14"/>
  <c r="AW72" i="14"/>
  <c r="AG72" i="14"/>
  <c r="Z66" i="14"/>
  <c r="AB66" i="14"/>
  <c r="R66" i="14"/>
  <c r="P66" i="14"/>
  <c r="R74" i="14"/>
  <c r="P74" i="14"/>
  <c r="AB74" i="14"/>
  <c r="Z74" i="14"/>
  <c r="AU66" i="14"/>
  <c r="I68" i="14"/>
  <c r="AI68" i="14"/>
  <c r="AS69" i="14"/>
  <c r="AS76" i="14"/>
  <c r="AV66" i="14"/>
  <c r="AH67" i="14"/>
  <c r="AJ68" i="14"/>
  <c r="AR68" i="14"/>
  <c r="N69" i="14"/>
  <c r="AT69" i="14"/>
  <c r="AV70" i="14"/>
  <c r="G71" i="14"/>
  <c r="AG71" i="14"/>
  <c r="AW71" i="14"/>
  <c r="AH72" i="14"/>
  <c r="N76" i="14"/>
  <c r="AT76" i="14"/>
  <c r="AM77" i="14"/>
  <c r="AM74" i="14"/>
  <c r="X68" i="14"/>
  <c r="AK69" i="14"/>
  <c r="AK76" i="14"/>
  <c r="I67" i="14"/>
  <c r="AK68" i="14"/>
  <c r="AU69" i="14"/>
  <c r="G70" i="14"/>
  <c r="AG70" i="14"/>
  <c r="N75" i="14"/>
  <c r="AU76" i="14"/>
  <c r="AL68" i="14"/>
  <c r="G69" i="14"/>
  <c r="G76" i="14"/>
  <c r="AG76" i="14"/>
  <c r="G75" i="14"/>
  <c r="AH76" i="14"/>
  <c r="I77" i="14"/>
  <c r="AG69" i="14"/>
  <c r="AH69" i="14"/>
  <c r="AK71" i="14"/>
  <c r="P67" i="14"/>
  <c r="I69" i="14"/>
  <c r="AK70" i="14"/>
  <c r="AT71" i="14"/>
  <c r="P72" i="14"/>
  <c r="AV73" i="14"/>
  <c r="AH75" i="14"/>
  <c r="I76" i="14"/>
  <c r="AR77" i="14"/>
  <c r="I75" i="14"/>
  <c r="W51" i="14"/>
  <c r="N53" i="14"/>
  <c r="AL53" i="14" s="1"/>
  <c r="I56" i="14"/>
  <c r="M50" i="14"/>
  <c r="AJ50" i="14" s="1"/>
  <c r="M56" i="14"/>
  <c r="AK56" i="14" s="1"/>
  <c r="X59" i="14"/>
  <c r="X51" i="14"/>
  <c r="AW51" i="14" s="1"/>
  <c r="N51" i="14"/>
  <c r="AL51" i="14" s="1"/>
  <c r="X52" i="14"/>
  <c r="AW52" i="14" s="1"/>
  <c r="X60" i="14"/>
  <c r="AW60" i="14" s="1"/>
  <c r="X57" i="14"/>
  <c r="AU54" i="14"/>
  <c r="M49" i="14"/>
  <c r="AK49" i="14" s="1"/>
  <c r="AU49" i="14"/>
  <c r="AS59" i="14"/>
  <c r="AT17" i="14"/>
  <c r="AS54" i="14"/>
  <c r="AH17" i="14"/>
  <c r="AU19" i="14"/>
  <c r="I49" i="14"/>
  <c r="AS51" i="14"/>
  <c r="AB53" i="14"/>
  <c r="BA53" i="14" s="1"/>
  <c r="R56" i="14"/>
  <c r="AP56" i="14" s="1"/>
  <c r="AK17" i="14"/>
  <c r="AH49" i="14"/>
  <c r="AU50" i="14"/>
  <c r="AS23" i="14"/>
  <c r="AU16" i="14"/>
  <c r="N57" i="14"/>
  <c r="AM57" i="14" s="1"/>
  <c r="AB49" i="14"/>
  <c r="BA49" i="14" s="1"/>
  <c r="AK51" i="14"/>
  <c r="AI59" i="14"/>
  <c r="AL49" i="14"/>
  <c r="AM49" i="14"/>
  <c r="AU56" i="14"/>
  <c r="AG56" i="14"/>
  <c r="AJ60" i="14"/>
  <c r="AG60" i="14"/>
  <c r="AR16" i="14"/>
  <c r="AT49" i="14"/>
  <c r="AT53" i="14"/>
  <c r="AR59" i="14"/>
  <c r="AK60" i="14"/>
  <c r="AJ18" i="14"/>
  <c r="X49" i="14"/>
  <c r="AW49" i="14" s="1"/>
  <c r="AJ51" i="14"/>
  <c r="X53" i="14"/>
  <c r="AV53" i="14" s="1"/>
  <c r="N58" i="14"/>
  <c r="AL58" i="14" s="1"/>
  <c r="AK59" i="14"/>
  <c r="N60" i="14"/>
  <c r="AL60" i="14" s="1"/>
  <c r="AI56" i="14"/>
  <c r="AS60" i="14"/>
  <c r="AT15" i="14"/>
  <c r="AI49" i="14"/>
  <c r="AG50" i="14"/>
  <c r="AM53" i="14"/>
  <c r="R55" i="14"/>
  <c r="AQ55" i="14" s="1"/>
  <c r="AU55" i="14"/>
  <c r="AH56" i="14"/>
  <c r="AI50" i="14"/>
  <c r="AR52" i="14"/>
  <c r="AJ53" i="14"/>
  <c r="AG55" i="14"/>
  <c r="AR56" i="14"/>
  <c r="AS56" i="14"/>
  <c r="X58" i="14"/>
  <c r="AW58" i="14" s="1"/>
  <c r="AT60" i="14"/>
  <c r="AJ16" i="14"/>
  <c r="AK19" i="14"/>
  <c r="AU20" i="14"/>
  <c r="AG49" i="14"/>
  <c r="AU51" i="14"/>
  <c r="AK52" i="14"/>
  <c r="AG53" i="14"/>
  <c r="AI55" i="14"/>
  <c r="AJ55" i="14"/>
  <c r="AB60" i="14"/>
  <c r="AZ60" i="14" s="1"/>
  <c r="N19" i="14"/>
  <c r="AL19" i="14" s="1"/>
  <c r="AS50" i="14"/>
  <c r="R51" i="14"/>
  <c r="AQ51" i="14" s="1"/>
  <c r="AI52" i="14"/>
  <c r="P53" i="14"/>
  <c r="AO53" i="14" s="1"/>
  <c r="AI17" i="14"/>
  <c r="AS49" i="14"/>
  <c r="AH51" i="14"/>
  <c r="AS53" i="14"/>
  <c r="AS55" i="14"/>
  <c r="AI58" i="14"/>
  <c r="AI60" i="14"/>
  <c r="AZ53" i="14"/>
  <c r="AM54" i="14"/>
  <c r="AL54" i="14"/>
  <c r="AQ56" i="14"/>
  <c r="AW59" i="14"/>
  <c r="AV59" i="14"/>
  <c r="AQ50" i="14"/>
  <c r="AP50" i="14"/>
  <c r="AM55" i="14"/>
  <c r="AL55" i="14"/>
  <c r="AM50" i="14"/>
  <c r="AL50" i="14"/>
  <c r="AP55" i="14"/>
  <c r="AG58" i="14"/>
  <c r="AU58" i="14"/>
  <c r="AT58" i="14"/>
  <c r="AR58" i="14"/>
  <c r="AS58" i="14"/>
  <c r="AK58" i="14"/>
  <c r="AJ58" i="14"/>
  <c r="AV52" i="14"/>
  <c r="R58" i="14"/>
  <c r="P58" i="14"/>
  <c r="Z58" i="14"/>
  <c r="AB58" i="14"/>
  <c r="AH57" i="14"/>
  <c r="AG57" i="14"/>
  <c r="AU57" i="14"/>
  <c r="AT57" i="14"/>
  <c r="AS57" i="14"/>
  <c r="AK57" i="14"/>
  <c r="AI57" i="14"/>
  <c r="AJ57" i="14"/>
  <c r="AR57" i="14"/>
  <c r="AP51" i="14"/>
  <c r="AM56" i="14"/>
  <c r="AL56" i="14"/>
  <c r="AW57" i="14"/>
  <c r="AU53" i="14"/>
  <c r="AH50" i="14"/>
  <c r="Z51" i="14"/>
  <c r="AR51" i="14"/>
  <c r="N52" i="14"/>
  <c r="AT52" i="14"/>
  <c r="R53" i="14"/>
  <c r="AG54" i="14"/>
  <c r="AH55" i="14"/>
  <c r="X56" i="14"/>
  <c r="Z57" i="14"/>
  <c r="N59" i="14"/>
  <c r="AT59" i="14"/>
  <c r="AU60" i="14"/>
  <c r="X50" i="14"/>
  <c r="AU52" i="14"/>
  <c r="AW53" i="14"/>
  <c r="AH54" i="14"/>
  <c r="X55" i="14"/>
  <c r="Z56" i="14"/>
  <c r="AU59" i="14"/>
  <c r="AR50" i="14"/>
  <c r="AT51" i="14"/>
  <c r="X54" i="14"/>
  <c r="AI54" i="14"/>
  <c r="Z55" i="14"/>
  <c r="AR55" i="14"/>
  <c r="Z50" i="14"/>
  <c r="AB50" i="14"/>
  <c r="AK50" i="14"/>
  <c r="P51" i="14"/>
  <c r="AG52" i="14"/>
  <c r="AI53" i="14"/>
  <c r="AJ54" i="14"/>
  <c r="AR54" i="14"/>
  <c r="AB55" i="14"/>
  <c r="AK55" i="14"/>
  <c r="AT56" i="14"/>
  <c r="P57" i="14"/>
  <c r="AG59" i="14"/>
  <c r="AH60" i="14"/>
  <c r="Z49" i="14"/>
  <c r="AR49" i="14"/>
  <c r="AT50" i="14"/>
  <c r="AV51" i="14"/>
  <c r="AH52" i="14"/>
  <c r="Z53" i="14"/>
  <c r="AR53" i="14"/>
  <c r="AK54" i="14"/>
  <c r="AT55" i="14"/>
  <c r="P56" i="14"/>
  <c r="AV57" i="14"/>
  <c r="AH59" i="14"/>
  <c r="P50" i="14"/>
  <c r="AT54" i="14"/>
  <c r="P55" i="14"/>
  <c r="AH58" i="14"/>
  <c r="AR60" i="14"/>
  <c r="AJ52" i="14"/>
  <c r="AJ59" i="14"/>
  <c r="N25" i="14"/>
  <c r="AL25" i="14" s="1"/>
  <c r="I24" i="14"/>
  <c r="I23" i="14"/>
  <c r="G16" i="14"/>
  <c r="R16" i="14" s="1"/>
  <c r="AQ16" i="14" s="1"/>
  <c r="I16" i="14"/>
  <c r="X17" i="14"/>
  <c r="AW17" i="14" s="1"/>
  <c r="AK18" i="14"/>
  <c r="AM19" i="14"/>
  <c r="AI22" i="14"/>
  <c r="AS20" i="14"/>
  <c r="AG15" i="14"/>
  <c r="X16" i="14"/>
  <c r="AI18" i="14"/>
  <c r="AS18" i="14"/>
  <c r="AS19" i="14"/>
  <c r="X23" i="14"/>
  <c r="AW23" i="14" s="1"/>
  <c r="X25" i="14"/>
  <c r="AV25" i="14" s="1"/>
  <c r="N26" i="14"/>
  <c r="AL26" i="14" s="1"/>
  <c r="AI15" i="14"/>
  <c r="AS15" i="14"/>
  <c r="I17" i="14"/>
  <c r="AS22" i="14"/>
  <c r="G23" i="14"/>
  <c r="R23" i="14" s="1"/>
  <c r="AP23" i="14" s="1"/>
  <c r="N24" i="14"/>
  <c r="AL24" i="14" s="1"/>
  <c r="AH33" i="14"/>
  <c r="AT39" i="14"/>
  <c r="AS41" i="14"/>
  <c r="AR18" i="14"/>
  <c r="G19" i="14"/>
  <c r="R19" i="14" s="1"/>
  <c r="I25" i="14"/>
  <c r="AI20" i="14"/>
  <c r="AI25" i="14"/>
  <c r="AH22" i="14"/>
  <c r="G15" i="14"/>
  <c r="Z15" i="14" s="1"/>
  <c r="AU15" i="14"/>
  <c r="AI16" i="14"/>
  <c r="AG16" i="14"/>
  <c r="N17" i="14"/>
  <c r="AL17" i="14" s="1"/>
  <c r="AS17" i="14"/>
  <c r="AI19" i="14"/>
  <c r="AJ19" i="14"/>
  <c r="G21" i="14"/>
  <c r="R21" i="14" s="1"/>
  <c r="AQ21" i="14" s="1"/>
  <c r="AH23" i="14"/>
  <c r="X24" i="14"/>
  <c r="AW24" i="14" s="1"/>
  <c r="AL15" i="14"/>
  <c r="AM15" i="14"/>
  <c r="R24" i="14"/>
  <c r="P24" i="14"/>
  <c r="AB24" i="14"/>
  <c r="Z24" i="14"/>
  <c r="R22" i="14"/>
  <c r="P22" i="14"/>
  <c r="AB22" i="14"/>
  <c r="Z22" i="14"/>
  <c r="AG24" i="14"/>
  <c r="AU24" i="14"/>
  <c r="AT24" i="14"/>
  <c r="AJ24" i="14"/>
  <c r="AS24" i="14"/>
  <c r="AK24" i="14"/>
  <c r="AR24" i="14"/>
  <c r="AW18" i="14"/>
  <c r="AV18" i="14"/>
  <c r="AU21" i="14"/>
  <c r="AT21" i="14"/>
  <c r="AK21" i="14"/>
  <c r="AJ21" i="14"/>
  <c r="AG21" i="14"/>
  <c r="AM21" i="14"/>
  <c r="AL21" i="14"/>
  <c r="AI26" i="14"/>
  <c r="AG23" i="14"/>
  <c r="AU23" i="14"/>
  <c r="AI23" i="14"/>
  <c r="AT23" i="14"/>
  <c r="AK23" i="14"/>
  <c r="AJ23" i="14"/>
  <c r="AI24" i="14"/>
  <c r="AR25" i="14"/>
  <c r="AJ25" i="14"/>
  <c r="AG25" i="14"/>
  <c r="AU25" i="14"/>
  <c r="AT25" i="14"/>
  <c r="AS25" i="14"/>
  <c r="AK25" i="14"/>
  <c r="AM16" i="14"/>
  <c r="AL16" i="14"/>
  <c r="AS21" i="14"/>
  <c r="AM23" i="14"/>
  <c r="AL23" i="14"/>
  <c r="Z25" i="14"/>
  <c r="R25" i="14"/>
  <c r="P25" i="14"/>
  <c r="AB25" i="14"/>
  <c r="AW25" i="14"/>
  <c r="AI21" i="14"/>
  <c r="R17" i="14"/>
  <c r="P17" i="14"/>
  <c r="AB17" i="14"/>
  <c r="Z17" i="14"/>
  <c r="AW19" i="14"/>
  <c r="AV19" i="14"/>
  <c r="AM20" i="14"/>
  <c r="AL20" i="14"/>
  <c r="AQ23" i="14"/>
  <c r="AM24" i="14"/>
  <c r="AS26" i="14"/>
  <c r="AK26" i="14"/>
  <c r="AR26" i="14"/>
  <c r="AJ26" i="14"/>
  <c r="AG26" i="14"/>
  <c r="AU26" i="14"/>
  <c r="AT26" i="14"/>
  <c r="AW26" i="14"/>
  <c r="AV26" i="14"/>
  <c r="AH16" i="14"/>
  <c r="AJ17" i="14"/>
  <c r="N18" i="14"/>
  <c r="AT18" i="14"/>
  <c r="G20" i="14"/>
  <c r="AG20" i="14"/>
  <c r="AH21" i="14"/>
  <c r="I22" i="14"/>
  <c r="X22" i="14"/>
  <c r="Z23" i="14"/>
  <c r="AR23" i="14"/>
  <c r="AU18" i="14"/>
  <c r="AH20" i="14"/>
  <c r="I21" i="14"/>
  <c r="X21" i="14"/>
  <c r="AJ22" i="14"/>
  <c r="AR22" i="14"/>
  <c r="AB23" i="14"/>
  <c r="I20" i="14"/>
  <c r="X20" i="14"/>
  <c r="AR21" i="14"/>
  <c r="AK22" i="14"/>
  <c r="G26" i="14"/>
  <c r="I15" i="14"/>
  <c r="X15" i="14"/>
  <c r="AK16" i="14"/>
  <c r="AS16" i="14"/>
  <c r="AU17" i="14"/>
  <c r="G18" i="14"/>
  <c r="AG18" i="14"/>
  <c r="I19" i="14"/>
  <c r="AJ20" i="14"/>
  <c r="AR20" i="14"/>
  <c r="N22" i="14"/>
  <c r="AT22" i="14"/>
  <c r="P23" i="14"/>
  <c r="AH26" i="14"/>
  <c r="AJ15" i="14"/>
  <c r="AR15" i="14"/>
  <c r="AT16" i="14"/>
  <c r="AH18" i="14"/>
  <c r="AR19" i="14"/>
  <c r="AK20" i="14"/>
  <c r="AU22" i="14"/>
  <c r="AV23" i="14"/>
  <c r="AH25" i="14"/>
  <c r="I26" i="14"/>
  <c r="AK15" i="14"/>
  <c r="I18" i="14"/>
  <c r="AT20" i="14"/>
  <c r="AH24" i="14"/>
  <c r="AW33" i="14"/>
  <c r="AV34" i="14"/>
  <c r="AV37" i="14"/>
  <c r="AH34" i="14"/>
  <c r="AV36" i="14"/>
  <c r="G43" i="14"/>
  <c r="AB43" i="14" s="1"/>
  <c r="X43" i="14"/>
  <c r="AW43" i="14" s="1"/>
  <c r="AH32" i="14"/>
  <c r="AR33" i="14"/>
  <c r="AR34" i="14"/>
  <c r="I43" i="14"/>
  <c r="AR32" i="14"/>
  <c r="AT34" i="14"/>
  <c r="AV41" i="14"/>
  <c r="AK41" i="14"/>
  <c r="AM43" i="14"/>
  <c r="AL43" i="14"/>
  <c r="AS43" i="14"/>
  <c r="AG43" i="14"/>
  <c r="AR43" i="14"/>
  <c r="AU43" i="14"/>
  <c r="AJ43" i="14"/>
  <c r="AI43" i="14"/>
  <c r="AT43" i="14"/>
  <c r="AK43" i="14"/>
  <c r="AH43" i="14"/>
  <c r="AW37" i="14"/>
  <c r="AI36" i="14"/>
  <c r="AU39" i="14"/>
  <c r="AV33" i="14"/>
  <c r="AH35" i="14"/>
  <c r="AR36" i="14"/>
  <c r="AH39" i="14"/>
  <c r="AH36" i="14"/>
  <c r="G38" i="14"/>
  <c r="AB38" i="14" s="1"/>
  <c r="BA38" i="14" s="1"/>
  <c r="AH37" i="14"/>
  <c r="AR35" i="14"/>
  <c r="AR37" i="14"/>
  <c r="AH41" i="14"/>
  <c r="AR41" i="14"/>
  <c r="AS35" i="14"/>
  <c r="AR39" i="14"/>
  <c r="AJ41" i="14"/>
  <c r="AJ35" i="14"/>
  <c r="AI41" i="14"/>
  <c r="AI35" i="14"/>
  <c r="AS39" i="14"/>
  <c r="AK39" i="14"/>
  <c r="AU37" i="14"/>
  <c r="AW36" i="14"/>
  <c r="AS34" i="14"/>
  <c r="AK34" i="14"/>
  <c r="AU33" i="14"/>
  <c r="AJ39" i="14"/>
  <c r="AT37" i="14"/>
  <c r="AJ34" i="14"/>
  <c r="AT33" i="14"/>
  <c r="AI39" i="14"/>
  <c r="AI34" i="14"/>
  <c r="AW41" i="14"/>
  <c r="AS37" i="14"/>
  <c r="AK37" i="14"/>
  <c r="AU36" i="14"/>
  <c r="AW35" i="14"/>
  <c r="AS33" i="14"/>
  <c r="AK33" i="14"/>
  <c r="AU32" i="14"/>
  <c r="G42" i="14"/>
  <c r="AB42" i="14" s="1"/>
  <c r="BA42" i="14" s="1"/>
  <c r="X32" i="14"/>
  <c r="N34" i="14"/>
  <c r="AJ37" i="14"/>
  <c r="AT36" i="14"/>
  <c r="AJ33" i="14"/>
  <c r="AT32" i="14"/>
  <c r="N38" i="14"/>
  <c r="AM38" i="14" s="1"/>
  <c r="AI37" i="14"/>
  <c r="AI33" i="14"/>
  <c r="AU41" i="14"/>
  <c r="AS36" i="14"/>
  <c r="AK36" i="14"/>
  <c r="AU35" i="14"/>
  <c r="AW34" i="14"/>
  <c r="AS32" i="14"/>
  <c r="AK32" i="14"/>
  <c r="N40" i="14"/>
  <c r="AM40" i="14" s="1"/>
  <c r="G32" i="14"/>
  <c r="AT41" i="14"/>
  <c r="AJ36" i="14"/>
  <c r="AT35" i="14"/>
  <c r="AJ32" i="14"/>
  <c r="AI32" i="14"/>
  <c r="N32" i="14"/>
  <c r="AK35" i="14"/>
  <c r="AU34" i="14"/>
  <c r="N42" i="14"/>
  <c r="AL42" i="14" s="1"/>
  <c r="AS38" i="14"/>
  <c r="AI38" i="14"/>
  <c r="AS42" i="14"/>
  <c r="AI40" i="14"/>
  <c r="AS40" i="14"/>
  <c r="AI42" i="14"/>
  <c r="AK42" i="14"/>
  <c r="AH42" i="14"/>
  <c r="AJ42" i="14"/>
  <c r="AG42" i="14"/>
  <c r="AU42" i="14"/>
  <c r="AT42" i="14"/>
  <c r="AW42" i="14"/>
  <c r="AV42" i="14"/>
  <c r="I42" i="14"/>
  <c r="AR42" i="14"/>
  <c r="AK40" i="14"/>
  <c r="AJ40" i="14"/>
  <c r="AG40" i="14"/>
  <c r="AU40" i="14"/>
  <c r="AT40" i="14"/>
  <c r="AW40" i="14"/>
  <c r="AV40" i="14"/>
  <c r="G40" i="14"/>
  <c r="AH40" i="14"/>
  <c r="I40" i="14"/>
  <c r="AR40" i="14"/>
  <c r="AK38" i="14"/>
  <c r="AH38" i="14"/>
  <c r="AJ38" i="14"/>
  <c r="AU38" i="14"/>
  <c r="AT38" i="14"/>
  <c r="AG38" i="14"/>
  <c r="AW38" i="14"/>
  <c r="AV38" i="14"/>
  <c r="AZ38" i="14"/>
  <c r="P38" i="14"/>
  <c r="R38" i="14"/>
  <c r="I38" i="14"/>
  <c r="Z38" i="14"/>
  <c r="AR38" i="14"/>
  <c r="AG41" i="14"/>
  <c r="N41" i="14"/>
  <c r="G41" i="14"/>
  <c r="I41" i="14"/>
  <c r="AB39" i="14"/>
  <c r="P39" i="14"/>
  <c r="Z39" i="14"/>
  <c r="R39" i="14"/>
  <c r="AG39" i="14"/>
  <c r="I39" i="14"/>
  <c r="X39" i="14"/>
  <c r="N39" i="14"/>
  <c r="N37" i="14"/>
  <c r="G37" i="14"/>
  <c r="I37" i="14"/>
  <c r="N36" i="14"/>
  <c r="G36" i="14"/>
  <c r="I36" i="14"/>
  <c r="N35" i="14"/>
  <c r="G35" i="14"/>
  <c r="I35" i="14"/>
  <c r="G34" i="14"/>
  <c r="I34" i="14"/>
  <c r="N33" i="14"/>
  <c r="G33" i="14"/>
  <c r="I33" i="14"/>
  <c r="U89" i="19" l="1"/>
  <c r="U88" i="19"/>
  <c r="X72" i="19"/>
  <c r="U72" i="19"/>
  <c r="X62" i="19"/>
  <c r="X70" i="19"/>
  <c r="X68" i="19"/>
  <c r="X71" i="19"/>
  <c r="X66" i="19"/>
  <c r="X76" i="19"/>
  <c r="X65" i="19"/>
  <c r="X69" i="19"/>
  <c r="X73" i="19"/>
  <c r="X67" i="19"/>
  <c r="X74" i="19"/>
  <c r="X64" i="19"/>
  <c r="R77" i="14"/>
  <c r="AX72" i="14"/>
  <c r="R68" i="14"/>
  <c r="AB68" i="14"/>
  <c r="P77" i="14"/>
  <c r="AN77" i="14" s="1"/>
  <c r="AZ77" i="14"/>
  <c r="AL73" i="14"/>
  <c r="AQ67" i="14"/>
  <c r="AB72" i="14"/>
  <c r="R73" i="14"/>
  <c r="Z77" i="14"/>
  <c r="AM67" i="14"/>
  <c r="AV74" i="14"/>
  <c r="AX67" i="14"/>
  <c r="AB73" i="14"/>
  <c r="BA73" i="14" s="1"/>
  <c r="Z73" i="14"/>
  <c r="AY73" i="14" s="1"/>
  <c r="AW67" i="14"/>
  <c r="BA67" i="14"/>
  <c r="AZ67" i="14"/>
  <c r="AQ77" i="14"/>
  <c r="AP77" i="14"/>
  <c r="AP74" i="14"/>
  <c r="AQ74" i="14"/>
  <c r="AX68" i="14"/>
  <c r="AY68" i="14"/>
  <c r="AN72" i="14"/>
  <c r="AO72" i="14"/>
  <c r="BA68" i="14"/>
  <c r="AZ68" i="14"/>
  <c r="Z69" i="14"/>
  <c r="R69" i="14"/>
  <c r="P69" i="14"/>
  <c r="AB69" i="14"/>
  <c r="AM69" i="14"/>
  <c r="AL69" i="14"/>
  <c r="AY66" i="14"/>
  <c r="AX66" i="14"/>
  <c r="P75" i="14"/>
  <c r="R75" i="14"/>
  <c r="Z75" i="14"/>
  <c r="AB75" i="14"/>
  <c r="AM75" i="14"/>
  <c r="AL75" i="14"/>
  <c r="AV68" i="14"/>
  <c r="AW68" i="14"/>
  <c r="AN68" i="14"/>
  <c r="AO68" i="14"/>
  <c r="AZ73" i="14"/>
  <c r="BA74" i="14"/>
  <c r="AZ74" i="14"/>
  <c r="AY77" i="14"/>
  <c r="AX77" i="14"/>
  <c r="AP68" i="14"/>
  <c r="AQ68" i="14"/>
  <c r="AX73" i="14"/>
  <c r="BA66" i="14"/>
  <c r="AZ66" i="14"/>
  <c r="AM76" i="14"/>
  <c r="AL76" i="14"/>
  <c r="AO74" i="14"/>
  <c r="AN74" i="14"/>
  <c r="AN67" i="14"/>
  <c r="AO67" i="14"/>
  <c r="AB70" i="14"/>
  <c r="Z70" i="14"/>
  <c r="R70" i="14"/>
  <c r="P70" i="14"/>
  <c r="P71" i="14"/>
  <c r="AB71" i="14"/>
  <c r="R71" i="14"/>
  <c r="Z71" i="14"/>
  <c r="AO66" i="14"/>
  <c r="AN66" i="14"/>
  <c r="AO73" i="14"/>
  <c r="AN73" i="14"/>
  <c r="Z76" i="14"/>
  <c r="P76" i="14"/>
  <c r="R76" i="14"/>
  <c r="AB76" i="14"/>
  <c r="AX74" i="14"/>
  <c r="AY74" i="14"/>
  <c r="AQ66" i="14"/>
  <c r="AP66" i="14"/>
  <c r="AQ73" i="14"/>
  <c r="AP73" i="14"/>
  <c r="AJ56" i="14"/>
  <c r="AL57" i="14"/>
  <c r="AN53" i="14"/>
  <c r="AM60" i="14"/>
  <c r="AV58" i="14"/>
  <c r="AM51" i="14"/>
  <c r="AV60" i="14"/>
  <c r="AJ49" i="14"/>
  <c r="P49" i="14"/>
  <c r="AZ49" i="14"/>
  <c r="R49" i="14"/>
  <c r="AP49" i="14" s="1"/>
  <c r="AB56" i="14"/>
  <c r="AB51" i="14"/>
  <c r="BA51" i="14" s="1"/>
  <c r="P16" i="14"/>
  <c r="Z60" i="14"/>
  <c r="AX60" i="14" s="1"/>
  <c r="R15" i="14"/>
  <c r="Z16" i="14"/>
  <c r="AY16" i="14" s="1"/>
  <c r="AB16" i="14"/>
  <c r="BA60" i="14"/>
  <c r="AM58" i="14"/>
  <c r="R57" i="14"/>
  <c r="AB57" i="14"/>
  <c r="P60" i="14"/>
  <c r="AO60" i="14" s="1"/>
  <c r="Z42" i="14"/>
  <c r="AV24" i="14"/>
  <c r="AP16" i="14"/>
  <c r="R60" i="14"/>
  <c r="AV49" i="14"/>
  <c r="AM59" i="14"/>
  <c r="AL59" i="14"/>
  <c r="AY60" i="14"/>
  <c r="AQ53" i="14"/>
  <c r="AP53" i="14"/>
  <c r="AO58" i="14"/>
  <c r="AN58" i="14"/>
  <c r="AO51" i="14"/>
  <c r="AN51" i="14"/>
  <c r="AV54" i="14"/>
  <c r="AW54" i="14"/>
  <c r="AV50" i="14"/>
  <c r="AW50" i="14"/>
  <c r="AX57" i="14"/>
  <c r="AY57" i="14"/>
  <c r="AQ58" i="14"/>
  <c r="AP58" i="14"/>
  <c r="AO57" i="14"/>
  <c r="AN57" i="14"/>
  <c r="AO56" i="14"/>
  <c r="AN56" i="14"/>
  <c r="AX56" i="14"/>
  <c r="AY56" i="14"/>
  <c r="AW56" i="14"/>
  <c r="AV56" i="14"/>
  <c r="AM52" i="14"/>
  <c r="AL52" i="14"/>
  <c r="AY55" i="14"/>
  <c r="AX55" i="14"/>
  <c r="Z52" i="14"/>
  <c r="R52" i="14"/>
  <c r="AB52" i="14"/>
  <c r="P52" i="14"/>
  <c r="AN55" i="14"/>
  <c r="AO55" i="14"/>
  <c r="AY49" i="14"/>
  <c r="AX49" i="14"/>
  <c r="BA55" i="14"/>
  <c r="AZ55" i="14"/>
  <c r="BA50" i="14"/>
  <c r="AZ50" i="14"/>
  <c r="AV55" i="14"/>
  <c r="AW55" i="14"/>
  <c r="AY50" i="14"/>
  <c r="AX50" i="14"/>
  <c r="AX51" i="14"/>
  <c r="AY51" i="14"/>
  <c r="AN50" i="14"/>
  <c r="AO50" i="14"/>
  <c r="AY53" i="14"/>
  <c r="AX53" i="14"/>
  <c r="Z59" i="14"/>
  <c r="R59" i="14"/>
  <c r="P59" i="14"/>
  <c r="AB59" i="14"/>
  <c r="AQ60" i="14"/>
  <c r="AP60" i="14"/>
  <c r="P54" i="14"/>
  <c r="R54" i="14"/>
  <c r="AB54" i="14"/>
  <c r="Z54" i="14"/>
  <c r="BA58" i="14"/>
  <c r="AZ58" i="14"/>
  <c r="AY58" i="14"/>
  <c r="AX58" i="14"/>
  <c r="AM25" i="14"/>
  <c r="AB21" i="14"/>
  <c r="P21" i="14"/>
  <c r="AM17" i="14"/>
  <c r="AV17" i="14"/>
  <c r="AL40" i="14"/>
  <c r="Z21" i="14"/>
  <c r="AY21" i="14" s="1"/>
  <c r="AV16" i="14"/>
  <c r="AW16" i="14"/>
  <c r="AM26" i="14"/>
  <c r="Z19" i="14"/>
  <c r="AY19" i="14" s="1"/>
  <c r="AV43" i="14"/>
  <c r="P42" i="14"/>
  <c r="AN42" i="14" s="1"/>
  <c r="AZ42" i="14"/>
  <c r="AP21" i="14"/>
  <c r="AB19" i="14"/>
  <c r="P19" i="14"/>
  <c r="AB15" i="14"/>
  <c r="P15" i="14"/>
  <c r="AP22" i="14"/>
  <c r="AQ22" i="14"/>
  <c r="AX15" i="14"/>
  <c r="AY15" i="14"/>
  <c r="BA16" i="14"/>
  <c r="AZ16" i="14"/>
  <c r="AV20" i="14"/>
  <c r="AW20" i="14"/>
  <c r="AN16" i="14"/>
  <c r="AO16" i="14"/>
  <c r="AW15" i="14"/>
  <c r="AV15" i="14"/>
  <c r="P20" i="14"/>
  <c r="AB20" i="14"/>
  <c r="Z20" i="14"/>
  <c r="R20" i="14"/>
  <c r="AQ15" i="14"/>
  <c r="AP15" i="14"/>
  <c r="AX17" i="14"/>
  <c r="AY17" i="14"/>
  <c r="AY24" i="14"/>
  <c r="AX24" i="14"/>
  <c r="AN21" i="14"/>
  <c r="AO21" i="14"/>
  <c r="BA17" i="14"/>
  <c r="AZ17" i="14"/>
  <c r="BA24" i="14"/>
  <c r="AZ24" i="14"/>
  <c r="AV21" i="14"/>
  <c r="AW21" i="14"/>
  <c r="AO23" i="14"/>
  <c r="AN23" i="14"/>
  <c r="Z18" i="14"/>
  <c r="AB18" i="14"/>
  <c r="R18" i="14"/>
  <c r="P18" i="14"/>
  <c r="AB26" i="14"/>
  <c r="Z26" i="14"/>
  <c r="R26" i="14"/>
  <c r="P26" i="14"/>
  <c r="BA23" i="14"/>
  <c r="AZ23" i="14"/>
  <c r="AQ19" i="14"/>
  <c r="AP19" i="14"/>
  <c r="AO17" i="14"/>
  <c r="AN17" i="14"/>
  <c r="AO25" i="14"/>
  <c r="AN25" i="14"/>
  <c r="AO24" i="14"/>
  <c r="AN24" i="14"/>
  <c r="AZ25" i="14"/>
  <c r="BA25" i="14"/>
  <c r="AX23" i="14"/>
  <c r="AY23" i="14"/>
  <c r="AP17" i="14"/>
  <c r="AQ17" i="14"/>
  <c r="AQ25" i="14"/>
  <c r="AP25" i="14"/>
  <c r="AY22" i="14"/>
  <c r="AX22" i="14"/>
  <c r="AQ24" i="14"/>
  <c r="AP24" i="14"/>
  <c r="AM22" i="14"/>
  <c r="AL22" i="14"/>
  <c r="AW22" i="14"/>
  <c r="AV22" i="14"/>
  <c r="AM18" i="14"/>
  <c r="AL18" i="14"/>
  <c r="AY25" i="14"/>
  <c r="AX25" i="14"/>
  <c r="BA22" i="14"/>
  <c r="AZ22" i="14"/>
  <c r="BA21" i="14"/>
  <c r="AZ21" i="14"/>
  <c r="AO22" i="14"/>
  <c r="AN22" i="14"/>
  <c r="R43" i="14"/>
  <c r="Z43" i="14"/>
  <c r="P43" i="14"/>
  <c r="R42" i="14"/>
  <c r="AP42" i="14" s="1"/>
  <c r="AZ43" i="14"/>
  <c r="BA43" i="14"/>
  <c r="AM42" i="14"/>
  <c r="AL37" i="14"/>
  <c r="AM37" i="14"/>
  <c r="AZ39" i="14"/>
  <c r="BA39" i="14"/>
  <c r="AV39" i="14"/>
  <c r="AW39" i="14"/>
  <c r="AL38" i="14"/>
  <c r="AL41" i="14"/>
  <c r="AM41" i="14"/>
  <c r="AB32" i="14"/>
  <c r="P32" i="14"/>
  <c r="Z32" i="14"/>
  <c r="R32" i="14"/>
  <c r="AM34" i="14"/>
  <c r="AL34" i="14"/>
  <c r="AN39" i="14"/>
  <c r="AO39" i="14"/>
  <c r="AL35" i="14"/>
  <c r="AM35" i="14"/>
  <c r="AV32" i="14"/>
  <c r="AW32" i="14"/>
  <c r="AX39" i="14"/>
  <c r="AY39" i="14"/>
  <c r="AM39" i="14"/>
  <c r="AL39" i="14"/>
  <c r="AL33" i="14"/>
  <c r="AM33" i="14"/>
  <c r="AL36" i="14"/>
  <c r="AM36" i="14"/>
  <c r="AP39" i="14"/>
  <c r="AQ39" i="14"/>
  <c r="AL32" i="14"/>
  <c r="AM32" i="14"/>
  <c r="AY42" i="14"/>
  <c r="AX42" i="14"/>
  <c r="AO42" i="14"/>
  <c r="AB40" i="14"/>
  <c r="Z40" i="14"/>
  <c r="R40" i="14"/>
  <c r="P40" i="14"/>
  <c r="AY38" i="14"/>
  <c r="AX38" i="14"/>
  <c r="AP38" i="14"/>
  <c r="AQ38" i="14"/>
  <c r="AO38" i="14"/>
  <c r="AN38" i="14"/>
  <c r="Z41" i="14"/>
  <c r="R41" i="14"/>
  <c r="P41" i="14"/>
  <c r="AB41" i="14"/>
  <c r="Z37" i="14"/>
  <c r="R37" i="14"/>
  <c r="P37" i="14"/>
  <c r="AB37" i="14"/>
  <c r="R36" i="14"/>
  <c r="Z36" i="14"/>
  <c r="P36" i="14"/>
  <c r="AB36" i="14"/>
  <c r="P35" i="14"/>
  <c r="AB35" i="14"/>
  <c r="Z35" i="14"/>
  <c r="R35" i="14"/>
  <c r="Z34" i="14"/>
  <c r="P34" i="14"/>
  <c r="R34" i="14"/>
  <c r="AB34" i="14"/>
  <c r="R33" i="14"/>
  <c r="P33" i="14"/>
  <c r="AB33" i="14"/>
  <c r="Z33" i="14"/>
  <c r="AO77" i="14" l="1"/>
  <c r="AZ72" i="14"/>
  <c r="BA72" i="14"/>
  <c r="AZ76" i="14"/>
  <c r="BA76" i="14"/>
  <c r="AX71" i="14"/>
  <c r="AY71" i="14"/>
  <c r="AZ75" i="14"/>
  <c r="BA75" i="14"/>
  <c r="AZ69" i="14"/>
  <c r="BA69" i="14"/>
  <c r="AZ70" i="14"/>
  <c r="BA70" i="14"/>
  <c r="AQ76" i="14"/>
  <c r="AP76" i="14"/>
  <c r="AQ71" i="14"/>
  <c r="AP71" i="14"/>
  <c r="AY75" i="14"/>
  <c r="AX75" i="14"/>
  <c r="AO69" i="14"/>
  <c r="AN69" i="14"/>
  <c r="AO76" i="14"/>
  <c r="AN76" i="14"/>
  <c r="BA71" i="14"/>
  <c r="AZ71" i="14"/>
  <c r="AQ75" i="14"/>
  <c r="AP75" i="14"/>
  <c r="AP69" i="14"/>
  <c r="AQ69" i="14"/>
  <c r="AY76" i="14"/>
  <c r="AX76" i="14"/>
  <c r="AN71" i="14"/>
  <c r="AO71" i="14"/>
  <c r="AO75" i="14"/>
  <c r="AN75" i="14"/>
  <c r="AY69" i="14"/>
  <c r="AX69" i="14"/>
  <c r="AY70" i="14"/>
  <c r="AX70" i="14"/>
  <c r="AO70" i="14"/>
  <c r="AN70" i="14"/>
  <c r="AQ70" i="14"/>
  <c r="AP70" i="14"/>
  <c r="AN60" i="14"/>
  <c r="AZ51" i="14"/>
  <c r="AQ49" i="14"/>
  <c r="AO49" i="14"/>
  <c r="AN49" i="14"/>
  <c r="AX16" i="14"/>
  <c r="AQ42" i="14"/>
  <c r="BA56" i="14"/>
  <c r="AZ56" i="14"/>
  <c r="BA57" i="14"/>
  <c r="AZ57" i="14"/>
  <c r="AP57" i="14"/>
  <c r="AQ57" i="14"/>
  <c r="AQ54" i="14"/>
  <c r="AP54" i="14"/>
  <c r="BA54" i="14"/>
  <c r="AZ54" i="14"/>
  <c r="AY59" i="14"/>
  <c r="AX59" i="14"/>
  <c r="AZ59" i="14"/>
  <c r="BA59" i="14"/>
  <c r="AO52" i="14"/>
  <c r="AN52" i="14"/>
  <c r="AO59" i="14"/>
  <c r="AN59" i="14"/>
  <c r="AZ52" i="14"/>
  <c r="BA52" i="14"/>
  <c r="AY52" i="14"/>
  <c r="AX52" i="14"/>
  <c r="AY54" i="14"/>
  <c r="AX54" i="14"/>
  <c r="AQ59" i="14"/>
  <c r="AP59" i="14"/>
  <c r="AQ52" i="14"/>
  <c r="AP52" i="14"/>
  <c r="AO54" i="14"/>
  <c r="AN54" i="14"/>
  <c r="AX21" i="14"/>
  <c r="AX19" i="14"/>
  <c r="AO15" i="14"/>
  <c r="AN15" i="14"/>
  <c r="AO19" i="14"/>
  <c r="AN19" i="14"/>
  <c r="BA19" i="14"/>
  <c r="AZ19" i="14"/>
  <c r="AZ15" i="14"/>
  <c r="BA15" i="14"/>
  <c r="AQ18" i="14"/>
  <c r="AP18" i="14"/>
  <c r="AZ18" i="14"/>
  <c r="BA18" i="14"/>
  <c r="BA20" i="14"/>
  <c r="AZ20" i="14"/>
  <c r="AQ26" i="14"/>
  <c r="AP26" i="14"/>
  <c r="AY18" i="14"/>
  <c r="AX18" i="14"/>
  <c r="AN20" i="14"/>
  <c r="AO20" i="14"/>
  <c r="AO26" i="14"/>
  <c r="AN26" i="14"/>
  <c r="AY26" i="14"/>
  <c r="AX26" i="14"/>
  <c r="BA26" i="14"/>
  <c r="AZ26" i="14"/>
  <c r="AQ20" i="14"/>
  <c r="AP20" i="14"/>
  <c r="AO18" i="14"/>
  <c r="AN18" i="14"/>
  <c r="AY20" i="14"/>
  <c r="AX20" i="14"/>
  <c r="AY43" i="14"/>
  <c r="AX43" i="14"/>
  <c r="AP43" i="14"/>
  <c r="AQ43" i="14"/>
  <c r="AN43" i="14"/>
  <c r="AO43" i="14"/>
  <c r="AO37" i="14"/>
  <c r="AN37" i="14"/>
  <c r="BA35" i="14"/>
  <c r="AZ35" i="14"/>
  <c r="AP37" i="14"/>
  <c r="AQ37" i="14"/>
  <c r="AP33" i="14"/>
  <c r="AQ33" i="14"/>
  <c r="AX37" i="14"/>
  <c r="AY37" i="14"/>
  <c r="AQ32" i="14"/>
  <c r="AP32" i="14"/>
  <c r="AY32" i="14"/>
  <c r="AX32" i="14"/>
  <c r="AX35" i="14"/>
  <c r="AY35" i="14"/>
  <c r="AO33" i="14"/>
  <c r="AN33" i="14"/>
  <c r="AN36" i="14"/>
  <c r="AO36" i="14"/>
  <c r="AY36" i="14"/>
  <c r="AX36" i="14"/>
  <c r="AP41" i="14"/>
  <c r="AQ41" i="14"/>
  <c r="AN32" i="14"/>
  <c r="AO32" i="14"/>
  <c r="AZ33" i="14"/>
  <c r="BA33" i="14"/>
  <c r="AZ34" i="14"/>
  <c r="BA34" i="14"/>
  <c r="AZ36" i="14"/>
  <c r="BA36" i="14"/>
  <c r="BA41" i="14"/>
  <c r="AZ41" i="14"/>
  <c r="AP34" i="14"/>
  <c r="AQ34" i="14"/>
  <c r="AN41" i="14"/>
  <c r="AO41" i="14"/>
  <c r="AN34" i="14"/>
  <c r="AO34" i="14"/>
  <c r="AX34" i="14"/>
  <c r="AY34" i="14"/>
  <c r="AQ36" i="14"/>
  <c r="AP36" i="14"/>
  <c r="AX41" i="14"/>
  <c r="AY41" i="14"/>
  <c r="AZ32" i="14"/>
  <c r="BA32" i="14"/>
  <c r="AN35" i="14"/>
  <c r="AO35" i="14"/>
  <c r="AX33" i="14"/>
  <c r="AY33" i="14"/>
  <c r="AP35" i="14"/>
  <c r="AQ35" i="14"/>
  <c r="AZ37" i="14"/>
  <c r="BA37" i="14"/>
  <c r="AO40" i="14"/>
  <c r="AN40" i="14"/>
  <c r="BA40" i="14"/>
  <c r="AZ40" i="14"/>
  <c r="AQ40" i="14"/>
  <c r="AP40" i="14"/>
  <c r="AY40" i="14"/>
  <c r="AX40" i="14"/>
  <c r="D6" i="14" l="1"/>
  <c r="F7" i="14"/>
  <c r="R90" i="17"/>
  <c r="R86" i="17"/>
  <c r="R89" i="17"/>
  <c r="R87" i="17"/>
  <c r="M89" i="17"/>
  <c r="L89" i="17"/>
  <c r="M88" i="17"/>
  <c r="L88" i="17"/>
  <c r="R82" i="17"/>
  <c r="M87" i="17"/>
  <c r="M86" i="17"/>
  <c r="L87" i="17"/>
  <c r="L86" i="17"/>
  <c r="M83" i="17"/>
  <c r="L82" i="17"/>
  <c r="L81" i="17"/>
  <c r="M81" i="17"/>
  <c r="M80" i="17"/>
  <c r="L80" i="17"/>
  <c r="L79" i="17"/>
  <c r="J80" i="17"/>
  <c r="J79" i="17"/>
  <c r="L75" i="17"/>
  <c r="P50" i="17"/>
  <c r="Q50" i="17"/>
  <c r="R50" i="17"/>
  <c r="S50" i="17"/>
  <c r="P51" i="17"/>
  <c r="Q51" i="17"/>
  <c r="R51" i="17"/>
  <c r="S51" i="17"/>
  <c r="P52" i="17"/>
  <c r="Q52" i="17"/>
  <c r="R52" i="17"/>
  <c r="S52" i="17"/>
  <c r="P53" i="17"/>
  <c r="Q53" i="17"/>
  <c r="R53" i="17"/>
  <c r="S53" i="17"/>
  <c r="P54" i="17"/>
  <c r="Q54" i="17"/>
  <c r="R54" i="17"/>
  <c r="S54" i="17"/>
  <c r="P55" i="17"/>
  <c r="Q55" i="17"/>
  <c r="R55" i="17"/>
  <c r="S55" i="17"/>
  <c r="P56" i="17"/>
  <c r="Q56" i="17"/>
  <c r="R56" i="17"/>
  <c r="S56" i="17"/>
  <c r="P57" i="17"/>
  <c r="Q57" i="17"/>
  <c r="R57" i="17"/>
  <c r="S57" i="17"/>
  <c r="P58" i="17"/>
  <c r="Q58" i="17"/>
  <c r="R58" i="17"/>
  <c r="S58" i="17"/>
  <c r="P59" i="17"/>
  <c r="AA59" i="17" s="1"/>
  <c r="Q59" i="17"/>
  <c r="R59" i="17"/>
  <c r="S59" i="17"/>
  <c r="P60" i="17"/>
  <c r="Q60" i="17"/>
  <c r="R60" i="17"/>
  <c r="S60" i="17"/>
  <c r="P61" i="17"/>
  <c r="Q61" i="17"/>
  <c r="R61" i="17"/>
  <c r="S61" i="17"/>
  <c r="P62" i="17"/>
  <c r="Q62" i="17"/>
  <c r="R62" i="17"/>
  <c r="S62" i="17"/>
  <c r="P63" i="17"/>
  <c r="Q63" i="17"/>
  <c r="R63" i="17"/>
  <c r="S63" i="17"/>
  <c r="P64" i="17"/>
  <c r="Q64" i="17"/>
  <c r="R64" i="17"/>
  <c r="S64" i="17"/>
  <c r="P65" i="17"/>
  <c r="Q65" i="17"/>
  <c r="R65" i="17"/>
  <c r="S65" i="17"/>
  <c r="P66" i="17"/>
  <c r="Q66" i="17"/>
  <c r="R66" i="17"/>
  <c r="S66" i="17"/>
  <c r="P67" i="17"/>
  <c r="Q67" i="17"/>
  <c r="R67" i="17"/>
  <c r="S67" i="17"/>
  <c r="P68" i="17"/>
  <c r="Q68" i="17"/>
  <c r="R68" i="17"/>
  <c r="S68" i="17"/>
  <c r="P69" i="17"/>
  <c r="Q69" i="17"/>
  <c r="R69" i="17"/>
  <c r="S69" i="17"/>
  <c r="P70" i="17"/>
  <c r="Q70" i="17"/>
  <c r="R70" i="17"/>
  <c r="S70" i="17"/>
  <c r="P71" i="17"/>
  <c r="Q71" i="17"/>
  <c r="R71" i="17"/>
  <c r="S71" i="17"/>
  <c r="P72" i="17"/>
  <c r="Q72" i="17"/>
  <c r="R72" i="17"/>
  <c r="S72" i="17"/>
  <c r="S49" i="17"/>
  <c r="Q49" i="17"/>
  <c r="R49" i="17"/>
  <c r="P49" i="17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11" i="16"/>
  <c r="L11" i="16"/>
  <c r="K11" i="16"/>
  <c r="O50" i="17"/>
  <c r="O51" i="17"/>
  <c r="O52" i="17"/>
  <c r="O53" i="17"/>
  <c r="O54" i="17"/>
  <c r="O55" i="17"/>
  <c r="O56" i="17"/>
  <c r="O57" i="17"/>
  <c r="O58" i="17"/>
  <c r="O59" i="17"/>
  <c r="O60" i="17"/>
  <c r="O61" i="17"/>
  <c r="O62" i="17"/>
  <c r="O63" i="17"/>
  <c r="O64" i="17"/>
  <c r="O65" i="17"/>
  <c r="O66" i="17"/>
  <c r="O67" i="17"/>
  <c r="O68" i="17"/>
  <c r="O69" i="17"/>
  <c r="O70" i="17"/>
  <c r="O71" i="17"/>
  <c r="O72" i="17"/>
  <c r="O49" i="17"/>
  <c r="N49" i="17"/>
  <c r="G11" i="16"/>
  <c r="G14" i="16"/>
  <c r="L14" i="16" s="1"/>
  <c r="F14" i="16"/>
  <c r="E14" i="16"/>
  <c r="G13" i="16"/>
  <c r="L13" i="16" s="1"/>
  <c r="F13" i="16"/>
  <c r="E13" i="16"/>
  <c r="G12" i="16"/>
  <c r="L12" i="16" s="1"/>
  <c r="F12" i="16"/>
  <c r="E12" i="16"/>
  <c r="F11" i="16"/>
  <c r="E11" i="16"/>
  <c r="C12" i="16"/>
  <c r="D12" i="16"/>
  <c r="C13" i="16"/>
  <c r="D13" i="16"/>
  <c r="C14" i="16"/>
  <c r="D14" i="16"/>
  <c r="D11" i="16"/>
  <c r="C11" i="16"/>
  <c r="Y22" i="16"/>
  <c r="Y25" i="16"/>
  <c r="Y28" i="16"/>
  <c r="Y31" i="16"/>
  <c r="Y33" i="16"/>
  <c r="Y15" i="16"/>
  <c r="G16" i="16"/>
  <c r="G17" i="16"/>
  <c r="G18" i="16"/>
  <c r="K18" i="16" s="1"/>
  <c r="Y18" i="16" s="1"/>
  <c r="G22" i="16"/>
  <c r="K22" i="16" s="1"/>
  <c r="G19" i="16"/>
  <c r="G20" i="16"/>
  <c r="H20" i="16" s="1"/>
  <c r="G21" i="16"/>
  <c r="K21" i="16" s="1"/>
  <c r="Y21" i="16" s="1"/>
  <c r="G23" i="16"/>
  <c r="L23" i="16" s="1"/>
  <c r="G24" i="16"/>
  <c r="G25" i="16"/>
  <c r="G26" i="16"/>
  <c r="K26" i="16" s="1"/>
  <c r="Y26" i="16" s="1"/>
  <c r="G27" i="16"/>
  <c r="G28" i="16"/>
  <c r="G29" i="16"/>
  <c r="H29" i="16" s="1"/>
  <c r="G30" i="16"/>
  <c r="H30" i="16" s="1"/>
  <c r="G31" i="16"/>
  <c r="K31" i="16" s="1"/>
  <c r="G32" i="16"/>
  <c r="G33" i="16"/>
  <c r="G34" i="16"/>
  <c r="G35" i="16"/>
  <c r="G36" i="16"/>
  <c r="G37" i="16"/>
  <c r="H37" i="16" s="1"/>
  <c r="L16" i="16"/>
  <c r="K17" i="16"/>
  <c r="Y17" i="16" s="1"/>
  <c r="K24" i="16"/>
  <c r="Y24" i="16" s="1"/>
  <c r="K25" i="16"/>
  <c r="K32" i="16"/>
  <c r="Y32" i="16" s="1"/>
  <c r="K33" i="16"/>
  <c r="K34" i="16"/>
  <c r="Y34" i="16" s="1"/>
  <c r="H24" i="16"/>
  <c r="G15" i="16"/>
  <c r="L15" i="16" s="1"/>
  <c r="L22" i="16"/>
  <c r="K19" i="16"/>
  <c r="Y19" i="16" s="1"/>
  <c r="L19" i="16"/>
  <c r="K27" i="16"/>
  <c r="Y27" i="16" s="1"/>
  <c r="L27" i="16"/>
  <c r="K28" i="16"/>
  <c r="L28" i="16"/>
  <c r="K35" i="16"/>
  <c r="Y35" i="16" s="1"/>
  <c r="L35" i="16"/>
  <c r="K36" i="16"/>
  <c r="Y36" i="16" s="1"/>
  <c r="L36" i="16"/>
  <c r="E16" i="16"/>
  <c r="F16" i="16"/>
  <c r="E17" i="16"/>
  <c r="F17" i="16"/>
  <c r="H17" i="16"/>
  <c r="E18" i="16"/>
  <c r="F18" i="16"/>
  <c r="E22" i="16"/>
  <c r="F22" i="16"/>
  <c r="H22" i="16"/>
  <c r="E19" i="16"/>
  <c r="F19" i="16"/>
  <c r="H19" i="16"/>
  <c r="E20" i="16"/>
  <c r="F20" i="16"/>
  <c r="E21" i="16"/>
  <c r="F21" i="16"/>
  <c r="E23" i="16"/>
  <c r="F23" i="16"/>
  <c r="E24" i="16"/>
  <c r="F24" i="16"/>
  <c r="E25" i="16"/>
  <c r="F25" i="16"/>
  <c r="E26" i="16"/>
  <c r="F26" i="16"/>
  <c r="E27" i="16"/>
  <c r="F27" i="16"/>
  <c r="H27" i="16"/>
  <c r="E28" i="16"/>
  <c r="F28" i="16"/>
  <c r="H28" i="16"/>
  <c r="E29" i="16"/>
  <c r="F29" i="16"/>
  <c r="E30" i="16"/>
  <c r="F30" i="16"/>
  <c r="E31" i="16"/>
  <c r="F31" i="16"/>
  <c r="E32" i="16"/>
  <c r="F32" i="16"/>
  <c r="E33" i="16"/>
  <c r="F33" i="16"/>
  <c r="E34" i="16"/>
  <c r="F34" i="16"/>
  <c r="E35" i="16"/>
  <c r="F35" i="16"/>
  <c r="H35" i="16"/>
  <c r="E36" i="16"/>
  <c r="F36" i="16"/>
  <c r="H36" i="16"/>
  <c r="E37" i="16"/>
  <c r="F37" i="16"/>
  <c r="F15" i="16"/>
  <c r="E15" i="16"/>
  <c r="AA49" i="17"/>
  <c r="L54" i="17"/>
  <c r="K54" i="17"/>
  <c r="J54" i="17"/>
  <c r="I53" i="17"/>
  <c r="H53" i="17"/>
  <c r="AA58" i="17"/>
  <c r="P35" i="17"/>
  <c r="P34" i="17"/>
  <c r="M34" i="17"/>
  <c r="AH25" i="17"/>
  <c r="AH24" i="17"/>
  <c r="V15" i="17"/>
  <c r="V16" i="17"/>
  <c r="V17" i="17"/>
  <c r="V18" i="17"/>
  <c r="V19" i="17"/>
  <c r="V14" i="17"/>
  <c r="U26" i="17"/>
  <c r="V26" i="17"/>
  <c r="U27" i="17"/>
  <c r="V27" i="17"/>
  <c r="U28" i="17"/>
  <c r="V28" i="17"/>
  <c r="U29" i="17"/>
  <c r="V29" i="17"/>
  <c r="U30" i="17"/>
  <c r="V30" i="17"/>
  <c r="U31" i="17"/>
  <c r="V31" i="17"/>
  <c r="U32" i="17"/>
  <c r="V32" i="17"/>
  <c r="U33" i="17"/>
  <c r="V33" i="17"/>
  <c r="U35" i="17"/>
  <c r="V35" i="17"/>
  <c r="U36" i="17"/>
  <c r="V36" i="17"/>
  <c r="U37" i="17"/>
  <c r="V37" i="17"/>
  <c r="U38" i="17"/>
  <c r="V38" i="17"/>
  <c r="U39" i="17"/>
  <c r="V39" i="17"/>
  <c r="U40" i="17"/>
  <c r="V40" i="17"/>
  <c r="U41" i="17"/>
  <c r="V41" i="17"/>
  <c r="U42" i="17"/>
  <c r="V42" i="17"/>
  <c r="U43" i="17"/>
  <c r="V43" i="17"/>
  <c r="U25" i="17"/>
  <c r="V25" i="17"/>
  <c r="U34" i="17"/>
  <c r="V34" i="17"/>
  <c r="U44" i="17"/>
  <c r="V44" i="17"/>
  <c r="V24" i="17"/>
  <c r="U24" i="17"/>
  <c r="N53" i="17"/>
  <c r="M50" i="17"/>
  <c r="E26" i="17"/>
  <c r="F26" i="17"/>
  <c r="G26" i="17"/>
  <c r="H26" i="17"/>
  <c r="E27" i="17"/>
  <c r="F27" i="17"/>
  <c r="G27" i="17"/>
  <c r="H27" i="17"/>
  <c r="E28" i="17"/>
  <c r="F28" i="17"/>
  <c r="G28" i="17"/>
  <c r="H28" i="17"/>
  <c r="E29" i="17"/>
  <c r="F29" i="17"/>
  <c r="G29" i="17"/>
  <c r="H29" i="17"/>
  <c r="E30" i="17"/>
  <c r="F30" i="17"/>
  <c r="G30" i="17"/>
  <c r="H30" i="17"/>
  <c r="E31" i="17"/>
  <c r="F31" i="17"/>
  <c r="G31" i="17"/>
  <c r="H31" i="17"/>
  <c r="E32" i="17"/>
  <c r="F32" i="17"/>
  <c r="G32" i="17"/>
  <c r="H32" i="17"/>
  <c r="E33" i="17"/>
  <c r="F33" i="17"/>
  <c r="G33" i="17"/>
  <c r="H33" i="17"/>
  <c r="E35" i="17"/>
  <c r="F35" i="17"/>
  <c r="G35" i="17"/>
  <c r="H35" i="17"/>
  <c r="E36" i="17"/>
  <c r="F36" i="17"/>
  <c r="G36" i="17"/>
  <c r="H36" i="17"/>
  <c r="E37" i="17"/>
  <c r="F37" i="17"/>
  <c r="G37" i="17"/>
  <c r="H37" i="17"/>
  <c r="E38" i="17"/>
  <c r="F38" i="17"/>
  <c r="G38" i="17"/>
  <c r="H38" i="17"/>
  <c r="E39" i="17"/>
  <c r="F39" i="17"/>
  <c r="G39" i="17"/>
  <c r="H39" i="17"/>
  <c r="E40" i="17"/>
  <c r="F40" i="17"/>
  <c r="G40" i="17"/>
  <c r="H40" i="17"/>
  <c r="E41" i="17"/>
  <c r="F41" i="17"/>
  <c r="G41" i="17"/>
  <c r="H41" i="17"/>
  <c r="E42" i="17"/>
  <c r="F42" i="17"/>
  <c r="G42" i="17"/>
  <c r="H42" i="17"/>
  <c r="E43" i="17"/>
  <c r="F43" i="17"/>
  <c r="G43" i="17"/>
  <c r="H43" i="17"/>
  <c r="E25" i="17"/>
  <c r="F25" i="17"/>
  <c r="G25" i="17"/>
  <c r="H25" i="17"/>
  <c r="E34" i="17"/>
  <c r="F34" i="17"/>
  <c r="G34" i="17"/>
  <c r="L34" i="17" s="1"/>
  <c r="N34" i="17" s="1"/>
  <c r="H34" i="17"/>
  <c r="E44" i="17"/>
  <c r="O44" i="17" s="1"/>
  <c r="F44" i="17"/>
  <c r="G44" i="17"/>
  <c r="H44" i="17"/>
  <c r="H24" i="17"/>
  <c r="G24" i="17"/>
  <c r="F24" i="17"/>
  <c r="E24" i="17"/>
  <c r="N50" i="17"/>
  <c r="M51" i="17"/>
  <c r="N51" i="17"/>
  <c r="M52" i="17"/>
  <c r="N52" i="17"/>
  <c r="M53" i="17"/>
  <c r="M54" i="17"/>
  <c r="N54" i="17"/>
  <c r="M55" i="17"/>
  <c r="N55" i="17"/>
  <c r="M56" i="17"/>
  <c r="N56" i="17"/>
  <c r="M57" i="17"/>
  <c r="N57" i="17"/>
  <c r="M58" i="17"/>
  <c r="N58" i="17"/>
  <c r="M59" i="17"/>
  <c r="N59" i="17"/>
  <c r="M60" i="17"/>
  <c r="N60" i="17"/>
  <c r="M61" i="17"/>
  <c r="N61" i="17"/>
  <c r="M62" i="17"/>
  <c r="N62" i="17"/>
  <c r="M63" i="17"/>
  <c r="N63" i="17"/>
  <c r="M64" i="17"/>
  <c r="N64" i="17"/>
  <c r="M65" i="17"/>
  <c r="N65" i="17"/>
  <c r="M66" i="17"/>
  <c r="N66" i="17"/>
  <c r="M67" i="17"/>
  <c r="N67" i="17"/>
  <c r="M68" i="17"/>
  <c r="N68" i="17"/>
  <c r="M69" i="17"/>
  <c r="N69" i="17"/>
  <c r="M70" i="17"/>
  <c r="N70" i="17"/>
  <c r="M71" i="17"/>
  <c r="N71" i="17"/>
  <c r="M72" i="17"/>
  <c r="N72" i="17"/>
  <c r="M49" i="17"/>
  <c r="N19" i="17"/>
  <c r="L19" i="17" s="1"/>
  <c r="G19" i="17"/>
  <c r="E19" i="17" s="1"/>
  <c r="N16" i="17"/>
  <c r="L16" i="17" s="1"/>
  <c r="G16" i="17"/>
  <c r="E16" i="17" s="1"/>
  <c r="AA62" i="17" l="1"/>
  <c r="AA63" i="17"/>
  <c r="AA61" i="17"/>
  <c r="AA57" i="17"/>
  <c r="AA64" i="17"/>
  <c r="AA60" i="17"/>
  <c r="H14" i="16"/>
  <c r="K14" i="16"/>
  <c r="Y14" i="16" s="1"/>
  <c r="H13" i="16"/>
  <c r="K13" i="16"/>
  <c r="Y13" i="16" s="1"/>
  <c r="H12" i="16"/>
  <c r="K12" i="16"/>
  <c r="Y12" i="16" s="1"/>
  <c r="H11" i="16"/>
  <c r="Y11" i="16"/>
  <c r="L30" i="16"/>
  <c r="K20" i="16"/>
  <c r="Y20" i="16" s="1"/>
  <c r="H33" i="16"/>
  <c r="H32" i="16"/>
  <c r="H16" i="16"/>
  <c r="L25" i="16"/>
  <c r="L17" i="16"/>
  <c r="H25" i="16"/>
  <c r="L32" i="16"/>
  <c r="L24" i="16"/>
  <c r="L37" i="16"/>
  <c r="L20" i="16"/>
  <c r="K16" i="16"/>
  <c r="Y16" i="16" s="1"/>
  <c r="K37" i="16"/>
  <c r="Y37" i="16" s="1"/>
  <c r="K30" i="16"/>
  <c r="Y30" i="16" s="1"/>
  <c r="H23" i="16"/>
  <c r="L31" i="16"/>
  <c r="H21" i="16"/>
  <c r="L29" i="16"/>
  <c r="L33" i="16"/>
  <c r="K29" i="16"/>
  <c r="Y29" i="16" s="1"/>
  <c r="L21" i="16"/>
  <c r="H31" i="16"/>
  <c r="K23" i="16"/>
  <c r="Y23" i="16" s="1"/>
  <c r="L34" i="16"/>
  <c r="L26" i="16"/>
  <c r="L18" i="16"/>
  <c r="H34" i="16"/>
  <c r="H26" i="16"/>
  <c r="H18" i="16"/>
  <c r="K15" i="16"/>
  <c r="H15" i="16"/>
  <c r="L44" i="17"/>
  <c r="O25" i="17"/>
  <c r="M25" i="17"/>
  <c r="O24" i="17"/>
  <c r="L24" i="17"/>
  <c r="L25" i="17"/>
  <c r="O34" i="17"/>
  <c r="M44" i="17"/>
  <c r="F16" i="17"/>
  <c r="O19" i="17"/>
  <c r="M19" i="17"/>
  <c r="P19" i="17"/>
  <c r="F19" i="17"/>
  <c r="M16" i="17"/>
  <c r="P16" i="17"/>
  <c r="O16" i="17"/>
  <c r="N44" i="17" l="1"/>
  <c r="T44" i="17" s="1"/>
  <c r="R44" i="17"/>
  <c r="Y44" i="17" s="1"/>
  <c r="N25" i="17"/>
  <c r="T25" i="17" s="1"/>
  <c r="T34" i="17"/>
  <c r="Q44" i="17"/>
  <c r="X44" i="17" s="1"/>
  <c r="Q25" i="17"/>
  <c r="X25" i="17" s="1"/>
  <c r="P44" i="17"/>
  <c r="W44" i="17" s="1"/>
  <c r="N10" i="17"/>
  <c r="G10" i="17"/>
  <c r="N14" i="17"/>
  <c r="N15" i="17"/>
  <c r="N13" i="17"/>
  <c r="N17" i="17"/>
  <c r="N18" i="17"/>
  <c r="N4" i="17"/>
  <c r="N5" i="17"/>
  <c r="N6" i="17"/>
  <c r="N7" i="17"/>
  <c r="N8" i="17"/>
  <c r="N9" i="17"/>
  <c r="N11" i="17"/>
  <c r="N12" i="17"/>
  <c r="G15" i="17"/>
  <c r="G13" i="17"/>
  <c r="G17" i="17"/>
  <c r="G18" i="17"/>
  <c r="G4" i="17"/>
  <c r="G5" i="17"/>
  <c r="G6" i="17"/>
  <c r="G7" i="17"/>
  <c r="G8" i="17"/>
  <c r="G9" i="17"/>
  <c r="G11" i="17"/>
  <c r="G12" i="17"/>
  <c r="G14" i="17"/>
  <c r="L32" i="17"/>
  <c r="L31" i="17"/>
  <c r="M33" i="17"/>
  <c r="M32" i="17"/>
  <c r="L30" i="17"/>
  <c r="D67" i="17"/>
  <c r="D59" i="17"/>
  <c r="D51" i="17"/>
  <c r="AA51" i="17" s="1"/>
  <c r="D57" i="17"/>
  <c r="D65" i="17"/>
  <c r="D50" i="17"/>
  <c r="AA50" i="17" s="1"/>
  <c r="D58" i="17"/>
  <c r="D66" i="17"/>
  <c r="D49" i="17"/>
  <c r="L28" i="17"/>
  <c r="M28" i="17"/>
  <c r="O28" i="17"/>
  <c r="L29" i="17"/>
  <c r="M29" i="17"/>
  <c r="O29" i="17"/>
  <c r="L40" i="17"/>
  <c r="M40" i="17"/>
  <c r="O40" i="17"/>
  <c r="L41" i="17"/>
  <c r="M41" i="17"/>
  <c r="O41" i="17"/>
  <c r="L42" i="17"/>
  <c r="M42" i="17"/>
  <c r="O42" i="17"/>
  <c r="L43" i="17"/>
  <c r="M43" i="17"/>
  <c r="O43" i="17"/>
  <c r="L37" i="17"/>
  <c r="M37" i="17"/>
  <c r="O37" i="17"/>
  <c r="L38" i="17"/>
  <c r="M38" i="17"/>
  <c r="O38" i="17"/>
  <c r="L35" i="17"/>
  <c r="M35" i="17"/>
  <c r="O35" i="17"/>
  <c r="L36" i="17"/>
  <c r="M36" i="17"/>
  <c r="O36" i="17"/>
  <c r="L39" i="17"/>
  <c r="M39" i="17"/>
  <c r="O39" i="17"/>
  <c r="L26" i="17"/>
  <c r="M26" i="17"/>
  <c r="O26" i="17"/>
  <c r="L27" i="17"/>
  <c r="M27" i="17"/>
  <c r="O27" i="17"/>
  <c r="M24" i="17"/>
  <c r="S44" i="17" l="1"/>
  <c r="Z44" i="17" s="1"/>
  <c r="AH44" i="17" s="1"/>
  <c r="P25" i="17"/>
  <c r="W25" i="17" s="1"/>
  <c r="S34" i="17"/>
  <c r="Z34" i="17" s="1"/>
  <c r="R34" i="17"/>
  <c r="Y34" i="17" s="1"/>
  <c r="R25" i="17"/>
  <c r="Y25" i="17" s="1"/>
  <c r="S25" i="17"/>
  <c r="Z25" i="17" s="1"/>
  <c r="W34" i="17"/>
  <c r="AH34" i="17" s="1"/>
  <c r="Q34" i="17"/>
  <c r="X34" i="17" s="1"/>
  <c r="G49" i="17"/>
  <c r="E64" i="17" s="1"/>
  <c r="G67" i="17"/>
  <c r="G58" i="17"/>
  <c r="G59" i="17"/>
  <c r="G50" i="17"/>
  <c r="G66" i="17"/>
  <c r="G51" i="17"/>
  <c r="L9" i="17"/>
  <c r="M9" i="17"/>
  <c r="L14" i="17"/>
  <c r="P14" i="17" s="1"/>
  <c r="M14" i="17"/>
  <c r="F11" i="17"/>
  <c r="E11" i="17"/>
  <c r="E17" i="17"/>
  <c r="F17" i="17"/>
  <c r="M6" i="17"/>
  <c r="L6" i="17"/>
  <c r="D55" i="17"/>
  <c r="F5" i="17"/>
  <c r="E5" i="17"/>
  <c r="P5" i="17" s="1"/>
  <c r="O5" i="17"/>
  <c r="O14" i="17"/>
  <c r="F14" i="17"/>
  <c r="E14" i="17"/>
  <c r="L7" i="17"/>
  <c r="M7" i="17"/>
  <c r="F9" i="17"/>
  <c r="E9" i="17"/>
  <c r="P9" i="17" s="1"/>
  <c r="O9" i="17"/>
  <c r="F13" i="17"/>
  <c r="E13" i="17"/>
  <c r="L5" i="17"/>
  <c r="M5" i="17"/>
  <c r="E10" i="17"/>
  <c r="F10" i="17"/>
  <c r="L13" i="17"/>
  <c r="M13" i="17"/>
  <c r="O4" i="17"/>
  <c r="F4" i="17"/>
  <c r="E4" i="17"/>
  <c r="P4" i="17" s="1"/>
  <c r="E12" i="17"/>
  <c r="F12" i="17"/>
  <c r="F8" i="17"/>
  <c r="E8" i="17"/>
  <c r="F15" i="17"/>
  <c r="E15" i="17"/>
  <c r="L4" i="17"/>
  <c r="M4" i="17"/>
  <c r="M10" i="17"/>
  <c r="L10" i="17"/>
  <c r="L8" i="17"/>
  <c r="M8" i="17"/>
  <c r="O18" i="17"/>
  <c r="F18" i="17"/>
  <c r="E18" i="17"/>
  <c r="O7" i="17"/>
  <c r="F7" i="17"/>
  <c r="E7" i="17"/>
  <c r="P7" i="17" s="1"/>
  <c r="M12" i="17"/>
  <c r="L12" i="17"/>
  <c r="L18" i="17"/>
  <c r="P18" i="17" s="1"/>
  <c r="M18" i="17"/>
  <c r="L15" i="17"/>
  <c r="M15" i="17"/>
  <c r="E6" i="17"/>
  <c r="P6" i="17" s="1"/>
  <c r="O6" i="17"/>
  <c r="F6" i="17"/>
  <c r="L11" i="17"/>
  <c r="M11" i="17"/>
  <c r="M17" i="17"/>
  <c r="L17" i="17"/>
  <c r="D71" i="17"/>
  <c r="N43" i="17"/>
  <c r="Q43" i="17" s="1"/>
  <c r="X43" i="17" s="1"/>
  <c r="N28" i="17"/>
  <c r="P28" i="17" s="1"/>
  <c r="W28" i="17" s="1"/>
  <c r="N38" i="17"/>
  <c r="P38" i="17" s="1"/>
  <c r="W38" i="17" s="1"/>
  <c r="E72" i="17"/>
  <c r="E68" i="17"/>
  <c r="D64" i="17"/>
  <c r="D54" i="17"/>
  <c r="E53" i="17"/>
  <c r="D52" i="17"/>
  <c r="D56" i="17"/>
  <c r="D53" i="17"/>
  <c r="G65" i="17"/>
  <c r="G57" i="17"/>
  <c r="N32" i="17"/>
  <c r="L33" i="17"/>
  <c r="N33" i="17" s="1"/>
  <c r="O32" i="17"/>
  <c r="O31" i="17"/>
  <c r="O33" i="17"/>
  <c r="M31" i="17"/>
  <c r="N31" i="17" s="1"/>
  <c r="M30" i="17"/>
  <c r="N30" i="17" s="1"/>
  <c r="O30" i="17"/>
  <c r="N29" i="17"/>
  <c r="P29" i="17" s="1"/>
  <c r="W29" i="17" s="1"/>
  <c r="N26" i="17"/>
  <c r="Q26" i="17" s="1"/>
  <c r="X26" i="17" s="1"/>
  <c r="N27" i="17"/>
  <c r="P27" i="17" s="1"/>
  <c r="W27" i="17" s="1"/>
  <c r="N42" i="17"/>
  <c r="T42" i="17" s="1"/>
  <c r="N41" i="17"/>
  <c r="T41" i="17" s="1"/>
  <c r="N40" i="17"/>
  <c r="P40" i="17" s="1"/>
  <c r="W40" i="17" s="1"/>
  <c r="N37" i="17"/>
  <c r="Q37" i="17" s="1"/>
  <c r="X37" i="17" s="1"/>
  <c r="N35" i="17"/>
  <c r="Q35" i="17" s="1"/>
  <c r="X35" i="17" s="1"/>
  <c r="N36" i="17"/>
  <c r="S36" i="17" s="1"/>
  <c r="Z36" i="17" s="1"/>
  <c r="N39" i="17"/>
  <c r="T39" i="17" s="1"/>
  <c r="N24" i="17"/>
  <c r="T24" i="17" s="1"/>
  <c r="D48" i="11"/>
  <c r="H80" i="11"/>
  <c r="H79" i="11"/>
  <c r="G70" i="11"/>
  <c r="G69" i="11"/>
  <c r="G58" i="11"/>
  <c r="G57" i="11"/>
  <c r="G47" i="11"/>
  <c r="G48" i="11"/>
  <c r="G46" i="11"/>
  <c r="G13" i="11"/>
  <c r="E4" i="11"/>
  <c r="E3" i="11"/>
  <c r="H85" i="11"/>
  <c r="H86" i="11"/>
  <c r="G71" i="11"/>
  <c r="G72" i="11"/>
  <c r="G73" i="11"/>
  <c r="G16" i="11"/>
  <c r="G17" i="11"/>
  <c r="G18" i="11"/>
  <c r="G24" i="11"/>
  <c r="G25" i="11"/>
  <c r="G26" i="11"/>
  <c r="G36" i="11"/>
  <c r="F90" i="11"/>
  <c r="H90" i="11" s="1"/>
  <c r="F89" i="11"/>
  <c r="H89" i="11" s="1"/>
  <c r="F88" i="11"/>
  <c r="H88" i="11" s="1"/>
  <c r="F87" i="11"/>
  <c r="H87" i="11" s="1"/>
  <c r="F86" i="11"/>
  <c r="F85" i="11"/>
  <c r="F84" i="11"/>
  <c r="H84" i="11" s="1"/>
  <c r="F83" i="11"/>
  <c r="H83" i="11" s="1"/>
  <c r="F80" i="11"/>
  <c r="F82" i="11"/>
  <c r="H82" i="11" s="1"/>
  <c r="F81" i="11"/>
  <c r="H81" i="11" s="1"/>
  <c r="D65" i="11"/>
  <c r="G65" i="11" s="1"/>
  <c r="D64" i="11"/>
  <c r="G64" i="11" s="1"/>
  <c r="D63" i="11"/>
  <c r="G63" i="11" s="1"/>
  <c r="D59" i="11"/>
  <c r="G59" i="11" s="1"/>
  <c r="D60" i="11"/>
  <c r="G60" i="11" s="1"/>
  <c r="D58" i="11"/>
  <c r="D61" i="11"/>
  <c r="G61" i="11" s="1"/>
  <c r="D62" i="11"/>
  <c r="G62" i="11" s="1"/>
  <c r="D53" i="11"/>
  <c r="G53" i="11" s="1"/>
  <c r="D52" i="11"/>
  <c r="G52" i="11" s="1"/>
  <c r="D51" i="11"/>
  <c r="G51" i="11" s="1"/>
  <c r="D50" i="11"/>
  <c r="G50" i="11" s="1"/>
  <c r="D49" i="11"/>
  <c r="G49" i="11" s="1"/>
  <c r="D47" i="11"/>
  <c r="E26" i="11"/>
  <c r="E25" i="11"/>
  <c r="E24" i="11"/>
  <c r="E23" i="11"/>
  <c r="G23" i="11" s="1"/>
  <c r="E22" i="11"/>
  <c r="G22" i="11" s="1"/>
  <c r="E21" i="11"/>
  <c r="G21" i="11" s="1"/>
  <c r="E20" i="11"/>
  <c r="G20" i="11" s="1"/>
  <c r="C75" i="11"/>
  <c r="G75" i="11" s="1"/>
  <c r="C74" i="11"/>
  <c r="G74" i="11" s="1"/>
  <c r="C73" i="11"/>
  <c r="C9" i="11"/>
  <c r="E9" i="11" s="1"/>
  <c r="C8" i="11"/>
  <c r="E8" i="11" s="1"/>
  <c r="C7" i="11"/>
  <c r="E7" i="11" s="1"/>
  <c r="C42" i="11"/>
  <c r="G42" i="11" s="1"/>
  <c r="C41" i="11"/>
  <c r="G41" i="11" s="1"/>
  <c r="C40" i="11"/>
  <c r="G40" i="11" s="1"/>
  <c r="D57" i="11"/>
  <c r="D46" i="11"/>
  <c r="F79" i="11"/>
  <c r="C70" i="11"/>
  <c r="C71" i="11"/>
  <c r="C72" i="11"/>
  <c r="C69" i="11"/>
  <c r="C37" i="11"/>
  <c r="G37" i="11" s="1"/>
  <c r="C38" i="11"/>
  <c r="G38" i="11" s="1"/>
  <c r="C39" i="11"/>
  <c r="G39" i="11" s="1"/>
  <c r="C36" i="11"/>
  <c r="B31" i="11"/>
  <c r="G31" i="11" s="1"/>
  <c r="B32" i="11"/>
  <c r="G32" i="11" s="1"/>
  <c r="B30" i="11"/>
  <c r="G30" i="11" s="1"/>
  <c r="E14" i="11"/>
  <c r="G14" i="11" s="1"/>
  <c r="E15" i="11"/>
  <c r="G15" i="11" s="1"/>
  <c r="E16" i="11"/>
  <c r="E17" i="11"/>
  <c r="E18" i="11"/>
  <c r="E19" i="11"/>
  <c r="G19" i="11" s="1"/>
  <c r="E13" i="11"/>
  <c r="C5" i="11"/>
  <c r="E5" i="11" s="1"/>
  <c r="C4" i="11"/>
  <c r="C6" i="11"/>
  <c r="E6" i="11" s="1"/>
  <c r="C3" i="11"/>
  <c r="G3" i="16"/>
  <c r="F3" i="16"/>
  <c r="H3" i="16" s="1"/>
  <c r="E4" i="16" s="1"/>
  <c r="L72" i="10"/>
  <c r="L73" i="10"/>
  <c r="L74" i="10"/>
  <c r="L75" i="10"/>
  <c r="L76" i="10"/>
  <c r="L61" i="10"/>
  <c r="L62" i="10"/>
  <c r="L63" i="10"/>
  <c r="L64" i="10"/>
  <c r="L65" i="10"/>
  <c r="L71" i="10"/>
  <c r="L60" i="10"/>
  <c r="L51" i="10"/>
  <c r="L52" i="10"/>
  <c r="L53" i="10"/>
  <c r="L54" i="10"/>
  <c r="L55" i="10"/>
  <c r="L50" i="10"/>
  <c r="E76" i="10"/>
  <c r="H76" i="10" s="1"/>
  <c r="E75" i="10"/>
  <c r="H75" i="10" s="1"/>
  <c r="E74" i="10"/>
  <c r="H74" i="10" s="1"/>
  <c r="E73" i="10"/>
  <c r="H73" i="10" s="1"/>
  <c r="E72" i="10"/>
  <c r="H72" i="10" s="1"/>
  <c r="E71" i="10"/>
  <c r="H71" i="10" s="1"/>
  <c r="E70" i="10"/>
  <c r="H70" i="10" s="1"/>
  <c r="E65" i="10"/>
  <c r="I65" i="10" s="1"/>
  <c r="E64" i="10"/>
  <c r="I64" i="10" s="1"/>
  <c r="E63" i="10"/>
  <c r="I63" i="10" s="1"/>
  <c r="E62" i="10"/>
  <c r="I62" i="10" s="1"/>
  <c r="E61" i="10"/>
  <c r="I61" i="10" s="1"/>
  <c r="E60" i="10"/>
  <c r="I60" i="10" s="1"/>
  <c r="E59" i="10"/>
  <c r="I59" i="10" s="1"/>
  <c r="E55" i="10"/>
  <c r="H55" i="10" s="1"/>
  <c r="E54" i="10"/>
  <c r="I54" i="10" s="1"/>
  <c r="E53" i="10"/>
  <c r="H53" i="10" s="1"/>
  <c r="E52" i="10"/>
  <c r="H52" i="10" s="1"/>
  <c r="E51" i="10"/>
  <c r="I51" i="10" s="1"/>
  <c r="E50" i="10"/>
  <c r="H50" i="10" s="1"/>
  <c r="E49" i="10"/>
  <c r="H49" i="10" s="1"/>
  <c r="I141" i="5"/>
  <c r="I142" i="5"/>
  <c r="I143" i="5"/>
  <c r="I144" i="5"/>
  <c r="I145" i="5"/>
  <c r="I146" i="5"/>
  <c r="I147" i="5"/>
  <c r="I148" i="5"/>
  <c r="I149" i="5"/>
  <c r="I150" i="5"/>
  <c r="I140" i="5"/>
  <c r="G130" i="5"/>
  <c r="G131" i="5"/>
  <c r="G132" i="5"/>
  <c r="G133" i="5"/>
  <c r="G134" i="5"/>
  <c r="G135" i="5"/>
  <c r="G136" i="5"/>
  <c r="G129" i="5"/>
  <c r="G149" i="5"/>
  <c r="G148" i="5"/>
  <c r="G150" i="5"/>
  <c r="E129" i="5"/>
  <c r="G141" i="5"/>
  <c r="G142" i="5"/>
  <c r="G143" i="5"/>
  <c r="G144" i="5"/>
  <c r="G145" i="5"/>
  <c r="G146" i="5"/>
  <c r="G147" i="5"/>
  <c r="G140" i="5"/>
  <c r="E136" i="5"/>
  <c r="E135" i="5"/>
  <c r="E134" i="5"/>
  <c r="E133" i="5"/>
  <c r="E132" i="5"/>
  <c r="E131" i="5"/>
  <c r="E130" i="5"/>
  <c r="E71" i="4"/>
  <c r="L71" i="4" s="1"/>
  <c r="F71" i="4"/>
  <c r="E72" i="4"/>
  <c r="F72" i="4"/>
  <c r="E73" i="4"/>
  <c r="F73" i="4"/>
  <c r="E74" i="4"/>
  <c r="F74" i="4"/>
  <c r="E75" i="4"/>
  <c r="L75" i="4" s="1"/>
  <c r="F75" i="4"/>
  <c r="E76" i="4"/>
  <c r="F76" i="4"/>
  <c r="E77" i="4"/>
  <c r="L77" i="4" s="1"/>
  <c r="F77" i="4"/>
  <c r="E78" i="4"/>
  <c r="F78" i="4"/>
  <c r="L78" i="4" s="1"/>
  <c r="F70" i="4"/>
  <c r="E70" i="4"/>
  <c r="L76" i="4"/>
  <c r="L72" i="4"/>
  <c r="L73" i="4"/>
  <c r="L74" i="4"/>
  <c r="D65" i="4"/>
  <c r="I65" i="4" s="1"/>
  <c r="F63" i="4"/>
  <c r="I63" i="4"/>
  <c r="F64" i="4"/>
  <c r="I64" i="4"/>
  <c r="F65" i="4"/>
  <c r="F66" i="4"/>
  <c r="I66" i="4"/>
  <c r="I62" i="4"/>
  <c r="F62" i="4"/>
  <c r="D64" i="4"/>
  <c r="D63" i="4"/>
  <c r="C63" i="4"/>
  <c r="C64" i="4"/>
  <c r="C65" i="4"/>
  <c r="C66" i="4"/>
  <c r="D62" i="4"/>
  <c r="C62" i="4"/>
  <c r="D25" i="12"/>
  <c r="C25" i="12"/>
  <c r="F40" i="6"/>
  <c r="S4" i="6"/>
  <c r="T4" i="6"/>
  <c r="U4" i="6"/>
  <c r="S5" i="6"/>
  <c r="T5" i="6"/>
  <c r="U5" i="6"/>
  <c r="S6" i="6"/>
  <c r="T6" i="6"/>
  <c r="U6" i="6"/>
  <c r="S7" i="6"/>
  <c r="T7" i="6"/>
  <c r="U7" i="6"/>
  <c r="S8" i="6"/>
  <c r="T8" i="6"/>
  <c r="U8" i="6"/>
  <c r="S9" i="6"/>
  <c r="T9" i="6"/>
  <c r="U9" i="6"/>
  <c r="S10" i="6"/>
  <c r="T10" i="6"/>
  <c r="U10" i="6"/>
  <c r="S11" i="6"/>
  <c r="T11" i="6"/>
  <c r="U11" i="6"/>
  <c r="S12" i="6"/>
  <c r="T12" i="6"/>
  <c r="U12" i="6"/>
  <c r="S13" i="6"/>
  <c r="T13" i="6"/>
  <c r="U13" i="6"/>
  <c r="S14" i="6"/>
  <c r="T14" i="6"/>
  <c r="U14" i="6"/>
  <c r="S15" i="6"/>
  <c r="T15" i="6"/>
  <c r="U15" i="6"/>
  <c r="S16" i="6"/>
  <c r="T16" i="6"/>
  <c r="U16" i="6"/>
  <c r="S17" i="6"/>
  <c r="T17" i="6"/>
  <c r="U17" i="6"/>
  <c r="S18" i="6"/>
  <c r="T18" i="6"/>
  <c r="U18" i="6"/>
  <c r="S19" i="6"/>
  <c r="T19" i="6"/>
  <c r="U19" i="6"/>
  <c r="S20" i="6"/>
  <c r="T20" i="6"/>
  <c r="U20" i="6"/>
  <c r="S21" i="6"/>
  <c r="T21" i="6"/>
  <c r="U21" i="6"/>
  <c r="U3" i="6"/>
  <c r="T3" i="6"/>
  <c r="S3" i="6"/>
  <c r="H4" i="6"/>
  <c r="I4" i="6"/>
  <c r="J4" i="6"/>
  <c r="H5" i="6"/>
  <c r="I5" i="6"/>
  <c r="J5" i="6"/>
  <c r="H6" i="6"/>
  <c r="I6" i="6"/>
  <c r="J6" i="6"/>
  <c r="H7" i="6"/>
  <c r="I7" i="6"/>
  <c r="J7" i="6"/>
  <c r="H8" i="6"/>
  <c r="I8" i="6"/>
  <c r="J8" i="6"/>
  <c r="H9" i="6"/>
  <c r="I9" i="6"/>
  <c r="J9" i="6"/>
  <c r="H10" i="6"/>
  <c r="I10" i="6"/>
  <c r="J10" i="6"/>
  <c r="H11" i="6"/>
  <c r="I11" i="6"/>
  <c r="J11" i="6"/>
  <c r="H12" i="6"/>
  <c r="I12" i="6"/>
  <c r="J12" i="6"/>
  <c r="H13" i="6"/>
  <c r="I13" i="6"/>
  <c r="J13" i="6"/>
  <c r="J3" i="6"/>
  <c r="I3" i="6"/>
  <c r="H3" i="6"/>
  <c r="D68" i="17" l="1"/>
  <c r="E54" i="17"/>
  <c r="D62" i="17"/>
  <c r="AH28" i="17"/>
  <c r="J65" i="17"/>
  <c r="K59" i="17"/>
  <c r="J59" i="17"/>
  <c r="I59" i="17"/>
  <c r="AA53" i="17"/>
  <c r="J66" i="17"/>
  <c r="J67" i="17"/>
  <c r="I58" i="17"/>
  <c r="K58" i="17"/>
  <c r="J58" i="17"/>
  <c r="K51" i="17"/>
  <c r="J51" i="17"/>
  <c r="I51" i="17"/>
  <c r="I50" i="17"/>
  <c r="K50" i="17"/>
  <c r="J50" i="17"/>
  <c r="E55" i="17"/>
  <c r="AA55" i="17" s="1"/>
  <c r="K49" i="17"/>
  <c r="J49" i="17"/>
  <c r="I49" i="17"/>
  <c r="H49" i="17"/>
  <c r="K57" i="17"/>
  <c r="J57" i="17"/>
  <c r="I57" i="17"/>
  <c r="AA54" i="17"/>
  <c r="R37" i="17"/>
  <c r="Y37" i="17" s="1"/>
  <c r="S38" i="17"/>
  <c r="Z38" i="17" s="1"/>
  <c r="S43" i="17"/>
  <c r="Z43" i="17" s="1"/>
  <c r="R42" i="17"/>
  <c r="Y42" i="17" s="1"/>
  <c r="V5" i="17"/>
  <c r="Q24" i="17"/>
  <c r="X24" i="17" s="1"/>
  <c r="R27" i="17"/>
  <c r="Y27" i="17" s="1"/>
  <c r="R29" i="17"/>
  <c r="Y29" i="17" s="1"/>
  <c r="S35" i="17"/>
  <c r="Z35" i="17" s="1"/>
  <c r="R35" i="17"/>
  <c r="Y35" i="17" s="1"/>
  <c r="R43" i="17"/>
  <c r="Y43" i="17" s="1"/>
  <c r="R24" i="17"/>
  <c r="Y24" i="17" s="1"/>
  <c r="R38" i="17"/>
  <c r="Y38" i="17" s="1"/>
  <c r="S27" i="17"/>
  <c r="Z27" i="17" s="1"/>
  <c r="S31" i="17"/>
  <c r="Z31" i="17" s="1"/>
  <c r="R31" i="17"/>
  <c r="Y31" i="17" s="1"/>
  <c r="R32" i="17"/>
  <c r="Y32" i="17" s="1"/>
  <c r="S32" i="17"/>
  <c r="Z32" i="17" s="1"/>
  <c r="P24" i="17"/>
  <c r="W24" i="17" s="1"/>
  <c r="S41" i="17"/>
  <c r="Z41" i="17" s="1"/>
  <c r="S29" i="17"/>
  <c r="Z29" i="17" s="1"/>
  <c r="R40" i="17"/>
  <c r="Y40" i="17" s="1"/>
  <c r="R33" i="17"/>
  <c r="Y33" i="17" s="1"/>
  <c r="S33" i="17"/>
  <c r="Z33" i="17" s="1"/>
  <c r="R41" i="17"/>
  <c r="Y41" i="17" s="1"/>
  <c r="S26" i="17"/>
  <c r="Z26" i="17" s="1"/>
  <c r="R36" i="17"/>
  <c r="Y36" i="17" s="1"/>
  <c r="S39" i="17"/>
  <c r="Z39" i="17" s="1"/>
  <c r="S40" i="17"/>
  <c r="Z40" i="17" s="1"/>
  <c r="R30" i="17"/>
  <c r="Y30" i="17" s="1"/>
  <c r="S30" i="17"/>
  <c r="Z30" i="17" s="1"/>
  <c r="S28" i="17"/>
  <c r="Z28" i="17" s="1"/>
  <c r="R26" i="17"/>
  <c r="Y26" i="17" s="1"/>
  <c r="R39" i="17"/>
  <c r="Y39" i="17" s="1"/>
  <c r="R28" i="17"/>
  <c r="Y28" i="17" s="1"/>
  <c r="S37" i="17"/>
  <c r="Z37" i="17" s="1"/>
  <c r="S42" i="17"/>
  <c r="Z42" i="17" s="1"/>
  <c r="S24" i="17"/>
  <c r="Z24" i="17" s="1"/>
  <c r="V4" i="17"/>
  <c r="V7" i="17"/>
  <c r="V9" i="17"/>
  <c r="V6" i="17"/>
  <c r="P26" i="17"/>
  <c r="W26" i="17" s="1"/>
  <c r="AH26" i="17" s="1"/>
  <c r="P15" i="17"/>
  <c r="P12" i="17"/>
  <c r="O15" i="17"/>
  <c r="G55" i="17"/>
  <c r="E70" i="17"/>
  <c r="D61" i="17"/>
  <c r="E52" i="17"/>
  <c r="O12" i="17"/>
  <c r="H59" i="17"/>
  <c r="L59" i="17"/>
  <c r="D60" i="17"/>
  <c r="E60" i="17"/>
  <c r="E62" i="17"/>
  <c r="E63" i="17"/>
  <c r="P13" i="17"/>
  <c r="O17" i="17"/>
  <c r="H51" i="17"/>
  <c r="L51" i="17"/>
  <c r="H58" i="17"/>
  <c r="L58" i="17"/>
  <c r="E56" i="17"/>
  <c r="E61" i="17"/>
  <c r="E69" i="17"/>
  <c r="D63" i="17"/>
  <c r="H57" i="17"/>
  <c r="L57" i="17"/>
  <c r="D70" i="17"/>
  <c r="D69" i="17"/>
  <c r="D72" i="17"/>
  <c r="O10" i="17"/>
  <c r="H66" i="17"/>
  <c r="H67" i="17"/>
  <c r="H65" i="17"/>
  <c r="H50" i="17"/>
  <c r="L50" i="17"/>
  <c r="E71" i="17"/>
  <c r="L49" i="17"/>
  <c r="O11" i="17"/>
  <c r="P11" i="17"/>
  <c r="P10" i="17"/>
  <c r="O8" i="17"/>
  <c r="O13" i="17"/>
  <c r="P8" i="17"/>
  <c r="P17" i="17"/>
  <c r="P43" i="17"/>
  <c r="W43" i="17" s="1"/>
  <c r="AH43" i="17" s="1"/>
  <c r="T28" i="17"/>
  <c r="Q28" i="17"/>
  <c r="X28" i="17" s="1"/>
  <c r="P30" i="17"/>
  <c r="W30" i="17" s="1"/>
  <c r="T43" i="17"/>
  <c r="Q38" i="17"/>
  <c r="X38" i="17" s="1"/>
  <c r="AH38" i="17" s="1"/>
  <c r="T38" i="17"/>
  <c r="P41" i="17"/>
  <c r="W41" i="17" s="1"/>
  <c r="G64" i="17"/>
  <c r="G54" i="17"/>
  <c r="P33" i="17"/>
  <c r="W33" i="17" s="1"/>
  <c r="AH33" i="17" s="1"/>
  <c r="P31" i="17"/>
  <c r="W31" i="17" s="1"/>
  <c r="T32" i="17"/>
  <c r="T36" i="17"/>
  <c r="P36" i="17"/>
  <c r="W36" i="17" s="1"/>
  <c r="T31" i="17"/>
  <c r="G68" i="17"/>
  <c r="G53" i="17"/>
  <c r="P42" i="17"/>
  <c r="W42" i="17" s="1"/>
  <c r="P39" i="17"/>
  <c r="W39" i="17" s="1"/>
  <c r="AH39" i="17" s="1"/>
  <c r="P32" i="17"/>
  <c r="W32" i="17" s="1"/>
  <c r="AH32" i="17" s="1"/>
  <c r="P37" i="17"/>
  <c r="W37" i="17" s="1"/>
  <c r="W35" i="17"/>
  <c r="AH35" i="17" s="1"/>
  <c r="T30" i="17"/>
  <c r="Q32" i="17"/>
  <c r="X32" i="17" s="1"/>
  <c r="Q33" i="17"/>
  <c r="X33" i="17" s="1"/>
  <c r="T33" i="17"/>
  <c r="Q30" i="17"/>
  <c r="X30" i="17" s="1"/>
  <c r="Q31" i="17"/>
  <c r="X31" i="17" s="1"/>
  <c r="T29" i="17"/>
  <c r="Q29" i="17"/>
  <c r="X29" i="17" s="1"/>
  <c r="AH29" i="17" s="1"/>
  <c r="Q27" i="17"/>
  <c r="X27" i="17" s="1"/>
  <c r="AH27" i="17" s="1"/>
  <c r="T27" i="17"/>
  <c r="T26" i="17"/>
  <c r="Q42" i="17"/>
  <c r="X42" i="17" s="1"/>
  <c r="Q41" i="17"/>
  <c r="X41" i="17" s="1"/>
  <c r="Q40" i="17"/>
  <c r="X40" i="17" s="1"/>
  <c r="T40" i="17"/>
  <c r="T37" i="17"/>
  <c r="Q36" i="17"/>
  <c r="X36" i="17" s="1"/>
  <c r="T35" i="17"/>
  <c r="Q39" i="17"/>
  <c r="X39" i="17" s="1"/>
  <c r="E5" i="16"/>
  <c r="D5" i="16"/>
  <c r="D4" i="16"/>
  <c r="I70" i="10"/>
  <c r="I74" i="10"/>
  <c r="I73" i="10"/>
  <c r="J73" i="10" s="1"/>
  <c r="I76" i="10"/>
  <c r="J76" i="10" s="1"/>
  <c r="I72" i="10"/>
  <c r="J72" i="10" s="1"/>
  <c r="I75" i="10"/>
  <c r="J75" i="10" s="1"/>
  <c r="I71" i="10"/>
  <c r="J71" i="10"/>
  <c r="J70" i="10"/>
  <c r="J74" i="10"/>
  <c r="H60" i="10"/>
  <c r="J60" i="10" s="1"/>
  <c r="H62" i="10"/>
  <c r="J62" i="10" s="1"/>
  <c r="H64" i="10"/>
  <c r="J64" i="10" s="1"/>
  <c r="H59" i="10"/>
  <c r="J59" i="10" s="1"/>
  <c r="H61" i="10"/>
  <c r="J61" i="10" s="1"/>
  <c r="H63" i="10"/>
  <c r="J63" i="10" s="1"/>
  <c r="H65" i="10"/>
  <c r="J65" i="10" s="1"/>
  <c r="I55" i="10"/>
  <c r="J55" i="10" s="1"/>
  <c r="H54" i="10"/>
  <c r="J54" i="10" s="1"/>
  <c r="I53" i="10"/>
  <c r="J53" i="10" s="1"/>
  <c r="I52" i="10"/>
  <c r="J52" i="10" s="1"/>
  <c r="H51" i="10"/>
  <c r="J51" i="10" s="1"/>
  <c r="I50" i="10"/>
  <c r="J50" i="10" s="1"/>
  <c r="I49" i="10"/>
  <c r="J49" i="10" s="1"/>
  <c r="L70" i="4"/>
  <c r="AH40" i="17" l="1"/>
  <c r="I66" i="17"/>
  <c r="AH31" i="17"/>
  <c r="AH30" i="17"/>
  <c r="I54" i="17"/>
  <c r="G72" i="17"/>
  <c r="AH42" i="17"/>
  <c r="K66" i="17"/>
  <c r="K53" i="17"/>
  <c r="J53" i="17"/>
  <c r="J68" i="17"/>
  <c r="K64" i="17"/>
  <c r="J64" i="17"/>
  <c r="I64" i="17"/>
  <c r="G52" i="17"/>
  <c r="AA52" i="17"/>
  <c r="AH36" i="17"/>
  <c r="AH41" i="17"/>
  <c r="I67" i="17"/>
  <c r="AA56" i="17"/>
  <c r="I65" i="17"/>
  <c r="AH37" i="17"/>
  <c r="AA66" i="17"/>
  <c r="K55" i="17"/>
  <c r="J55" i="17"/>
  <c r="I55" i="17"/>
  <c r="K67" i="17"/>
  <c r="AA67" i="17" s="1"/>
  <c r="K65" i="17"/>
  <c r="G63" i="17"/>
  <c r="V8" i="17"/>
  <c r="G62" i="17"/>
  <c r="L65" i="17"/>
  <c r="V10" i="17"/>
  <c r="V11" i="17"/>
  <c r="V12" i="17"/>
  <c r="V13" i="17"/>
  <c r="G69" i="17"/>
  <c r="G70" i="17"/>
  <c r="L66" i="17"/>
  <c r="G61" i="17"/>
  <c r="G60" i="17"/>
  <c r="H72" i="17"/>
  <c r="L53" i="17"/>
  <c r="H52" i="17"/>
  <c r="L67" i="17"/>
  <c r="H54" i="17"/>
  <c r="H68" i="17"/>
  <c r="L64" i="17"/>
  <c r="H64" i="17"/>
  <c r="G56" i="17"/>
  <c r="G71" i="17"/>
  <c r="L55" i="17"/>
  <c r="H55" i="17"/>
  <c r="L116" i="15"/>
  <c r="L96" i="15"/>
  <c r="L66" i="15"/>
  <c r="L36" i="15"/>
  <c r="L16" i="15"/>
  <c r="I68" i="17" l="1"/>
  <c r="AA65" i="17"/>
  <c r="J69" i="17"/>
  <c r="K56" i="17"/>
  <c r="J56" i="17"/>
  <c r="I56" i="17"/>
  <c r="K52" i="17"/>
  <c r="J52" i="17"/>
  <c r="I52" i="17"/>
  <c r="K63" i="17"/>
  <c r="J63" i="17"/>
  <c r="I63" i="17"/>
  <c r="K68" i="17"/>
  <c r="H70" i="17"/>
  <c r="I70" i="17" s="1"/>
  <c r="L70" i="17" s="1"/>
  <c r="J70" i="17"/>
  <c r="J62" i="17"/>
  <c r="I62" i="17"/>
  <c r="K62" i="17"/>
  <c r="H61" i="17"/>
  <c r="K61" i="17"/>
  <c r="J61" i="17"/>
  <c r="I61" i="17"/>
  <c r="J71" i="17"/>
  <c r="L52" i="17"/>
  <c r="J72" i="17"/>
  <c r="I72" i="17"/>
  <c r="K60" i="17"/>
  <c r="J60" i="17"/>
  <c r="I60" i="17"/>
  <c r="L63" i="17"/>
  <c r="H63" i="17"/>
  <c r="L62" i="17"/>
  <c r="H62" i="17"/>
  <c r="H69" i="17"/>
  <c r="L61" i="17"/>
  <c r="L60" i="17"/>
  <c r="H60" i="17"/>
  <c r="H71" i="17"/>
  <c r="L56" i="17"/>
  <c r="H56" i="17"/>
  <c r="L68" i="17"/>
  <c r="AA68" i="17"/>
  <c r="B28" i="15"/>
  <c r="C9" i="15"/>
  <c r="H17" i="15"/>
  <c r="C16" i="15"/>
  <c r="B16" i="15"/>
  <c r="H24" i="15"/>
  <c r="H23" i="15"/>
  <c r="H22" i="15"/>
  <c r="A22" i="15"/>
  <c r="A20" i="15"/>
  <c r="A21" i="15" s="1"/>
  <c r="A19" i="15"/>
  <c r="I18" i="15"/>
  <c r="H18" i="15"/>
  <c r="A18" i="15"/>
  <c r="I17" i="15"/>
  <c r="A17" i="15"/>
  <c r="I11" i="15"/>
  <c r="D11" i="15"/>
  <c r="C11" i="15"/>
  <c r="K10" i="15"/>
  <c r="K9" i="15" s="1"/>
  <c r="H10" i="15"/>
  <c r="H11" i="15" s="1"/>
  <c r="F10" i="15"/>
  <c r="F11" i="15" s="1"/>
  <c r="I9" i="15"/>
  <c r="H9" i="15"/>
  <c r="D9" i="15"/>
  <c r="K69" i="17" l="1"/>
  <c r="K71" i="17"/>
  <c r="K72" i="17"/>
  <c r="K70" i="17"/>
  <c r="AA70" i="17"/>
  <c r="L72" i="17"/>
  <c r="I71" i="17"/>
  <c r="L71" i="17" s="1"/>
  <c r="I69" i="17"/>
  <c r="AA72" i="17"/>
  <c r="J10" i="15"/>
  <c r="J11" i="15" s="1"/>
  <c r="C21" i="15"/>
  <c r="C20" i="15"/>
  <c r="F9" i="15"/>
  <c r="C19" i="15"/>
  <c r="C17" i="15"/>
  <c r="B22" i="15"/>
  <c r="C22" i="15"/>
  <c r="B17" i="15"/>
  <c r="B21" i="15"/>
  <c r="A23" i="15"/>
  <c r="E10" i="15"/>
  <c r="D16" i="15" s="1"/>
  <c r="K11" i="15"/>
  <c r="C18" i="15"/>
  <c r="B20" i="15"/>
  <c r="B19" i="15"/>
  <c r="B18" i="15"/>
  <c r="AA71" i="17" l="1"/>
  <c r="L69" i="17"/>
  <c r="AA69" i="17"/>
  <c r="J9" i="15"/>
  <c r="D19" i="15"/>
  <c r="E19" i="15" s="1"/>
  <c r="E9" i="15"/>
  <c r="D20" i="15"/>
  <c r="E20" i="15" s="1"/>
  <c r="D22" i="15"/>
  <c r="E22" i="15" s="1"/>
  <c r="E16" i="15"/>
  <c r="E11" i="15"/>
  <c r="D18" i="15"/>
  <c r="E18" i="15" s="1"/>
  <c r="D21" i="15"/>
  <c r="E21" i="15" s="1"/>
  <c r="D17" i="15"/>
  <c r="E17" i="15" s="1"/>
  <c r="A24" i="15"/>
  <c r="C23" i="15"/>
  <c r="B23" i="15"/>
  <c r="D23" i="15" s="1"/>
  <c r="E23" i="15" s="1"/>
  <c r="B24" i="15" l="1"/>
  <c r="D24" i="15" s="1"/>
  <c r="E24" i="15" s="1"/>
  <c r="A25" i="15"/>
  <c r="C24" i="15"/>
  <c r="C25" i="15" l="1"/>
  <c r="B25" i="15"/>
  <c r="D25" i="15" s="1"/>
  <c r="E25" i="15" s="1"/>
  <c r="A26" i="15"/>
  <c r="A27" i="15" l="1"/>
  <c r="C26" i="15"/>
  <c r="B26" i="15"/>
  <c r="D26" i="15" s="1"/>
  <c r="E26" i="15" s="1"/>
  <c r="B27" i="15" l="1"/>
  <c r="D27" i="15" s="1"/>
  <c r="E27" i="15" s="1"/>
  <c r="A28" i="15"/>
  <c r="C27" i="15"/>
  <c r="C28" i="15" l="1"/>
  <c r="D28" i="15"/>
  <c r="E28" i="15" s="1"/>
  <c r="A29" i="15"/>
  <c r="A30" i="15" l="1"/>
  <c r="C29" i="15"/>
  <c r="B29" i="15"/>
  <c r="D29" i="15" s="1"/>
  <c r="E29" i="15" s="1"/>
  <c r="C30" i="15" l="1"/>
  <c r="B30" i="15"/>
  <c r="D30" i="15" s="1"/>
  <c r="E30" i="15" s="1"/>
  <c r="A31" i="15"/>
  <c r="A32" i="15" l="1"/>
  <c r="C31" i="15"/>
  <c r="B31" i="15"/>
  <c r="D31" i="15" s="1"/>
  <c r="E31" i="15" s="1"/>
  <c r="A33" i="15" l="1"/>
  <c r="C32" i="15"/>
  <c r="B32" i="15"/>
  <c r="D32" i="15" s="1"/>
  <c r="E32" i="15" s="1"/>
  <c r="C33" i="15" l="1"/>
  <c r="B33" i="15"/>
  <c r="D33" i="15" s="1"/>
  <c r="E33" i="15" s="1"/>
  <c r="A34" i="15"/>
  <c r="A35" i="15" l="1"/>
  <c r="C34" i="15"/>
  <c r="B34" i="15"/>
  <c r="D34" i="15" s="1"/>
  <c r="E34" i="15" s="1"/>
  <c r="B35" i="15" l="1"/>
  <c r="D35" i="15" s="1"/>
  <c r="E35" i="15" s="1"/>
  <c r="A36" i="15"/>
  <c r="C35" i="15"/>
  <c r="C36" i="15" l="1"/>
  <c r="B36" i="15"/>
  <c r="D36" i="15" s="1"/>
  <c r="E36" i="15" s="1"/>
  <c r="A37" i="15"/>
  <c r="A38" i="15" l="1"/>
  <c r="B37" i="15"/>
  <c r="D37" i="15" s="1"/>
  <c r="E37" i="15" s="1"/>
  <c r="C37" i="15"/>
  <c r="C38" i="15" l="1"/>
  <c r="B38" i="15"/>
  <c r="D38" i="15" s="1"/>
  <c r="E38" i="15" s="1"/>
  <c r="A39" i="15"/>
  <c r="A40" i="15" l="1"/>
  <c r="C39" i="15"/>
  <c r="B39" i="15"/>
  <c r="D39" i="15" s="1"/>
  <c r="E39" i="15" s="1"/>
  <c r="A41" i="15" l="1"/>
  <c r="B40" i="15"/>
  <c r="D40" i="15" s="1"/>
  <c r="E40" i="15" s="1"/>
  <c r="C40" i="15"/>
  <c r="C41" i="15" l="1"/>
  <c r="B41" i="15"/>
  <c r="D41" i="15" s="1"/>
  <c r="E41" i="15" s="1"/>
  <c r="A42" i="15"/>
  <c r="A43" i="15" l="1"/>
  <c r="C42" i="15"/>
  <c r="B42" i="15"/>
  <c r="D42" i="15" s="1"/>
  <c r="E42" i="15" s="1"/>
  <c r="B43" i="15" l="1"/>
  <c r="D43" i="15" s="1"/>
  <c r="E43" i="15" s="1"/>
  <c r="A44" i="15"/>
  <c r="C43" i="15"/>
  <c r="C44" i="15" l="1"/>
  <c r="B44" i="15"/>
  <c r="D44" i="15" s="1"/>
  <c r="E44" i="15" s="1"/>
  <c r="A45" i="15"/>
  <c r="A46" i="15" l="1"/>
  <c r="C45" i="15"/>
  <c r="B45" i="15"/>
  <c r="D45" i="15" s="1"/>
  <c r="E45" i="15" s="1"/>
  <c r="C46" i="15" l="1"/>
  <c r="B46" i="15"/>
  <c r="D46" i="15" s="1"/>
  <c r="E46" i="15" s="1"/>
  <c r="A47" i="15"/>
  <c r="A48" i="15" l="1"/>
  <c r="C47" i="15"/>
  <c r="B47" i="15"/>
  <c r="D47" i="15" s="1"/>
  <c r="E47" i="15" s="1"/>
  <c r="A49" i="15" l="1"/>
  <c r="B48" i="15"/>
  <c r="D48" i="15" s="1"/>
  <c r="E48" i="15" s="1"/>
  <c r="C48" i="15"/>
  <c r="C49" i="15" l="1"/>
  <c r="B49" i="15"/>
  <c r="D49" i="15" s="1"/>
  <c r="E49" i="15" s="1"/>
  <c r="A50" i="15"/>
  <c r="A51" i="15" l="1"/>
  <c r="C50" i="15"/>
  <c r="B50" i="15"/>
  <c r="D50" i="15" s="1"/>
  <c r="E50" i="15" s="1"/>
  <c r="B51" i="15" l="1"/>
  <c r="D51" i="15" s="1"/>
  <c r="E51" i="15" s="1"/>
  <c r="A52" i="15"/>
  <c r="C51" i="15"/>
  <c r="C52" i="15" l="1"/>
  <c r="B52" i="15"/>
  <c r="D52" i="15" s="1"/>
  <c r="E52" i="15" s="1"/>
  <c r="A53" i="15"/>
  <c r="A54" i="15" l="1"/>
  <c r="B53" i="15"/>
  <c r="D53" i="15" s="1"/>
  <c r="E53" i="15" s="1"/>
  <c r="C53" i="15"/>
  <c r="C54" i="15" l="1"/>
  <c r="B54" i="15"/>
  <c r="D54" i="15" s="1"/>
  <c r="E54" i="15" s="1"/>
  <c r="A55" i="15"/>
  <c r="A56" i="15" l="1"/>
  <c r="B55" i="15"/>
  <c r="D55" i="15" s="1"/>
  <c r="E55" i="15" s="1"/>
  <c r="C55" i="15"/>
  <c r="A57" i="15" l="1"/>
  <c r="C56" i="15"/>
  <c r="B56" i="15"/>
  <c r="D56" i="15" s="1"/>
  <c r="E56" i="15" s="1"/>
  <c r="C57" i="15" l="1"/>
  <c r="B57" i="15"/>
  <c r="D57" i="15" s="1"/>
  <c r="E57" i="15" s="1"/>
  <c r="A58" i="15"/>
  <c r="A59" i="15" l="1"/>
  <c r="C58" i="15"/>
  <c r="B58" i="15"/>
  <c r="D58" i="15" s="1"/>
  <c r="E58" i="15" s="1"/>
  <c r="B59" i="15" l="1"/>
  <c r="D59" i="15" s="1"/>
  <c r="E59" i="15" s="1"/>
  <c r="A60" i="15"/>
  <c r="C59" i="15"/>
  <c r="C60" i="15" l="1"/>
  <c r="B60" i="15"/>
  <c r="D60" i="15" s="1"/>
  <c r="E60" i="15" s="1"/>
  <c r="A61" i="15"/>
  <c r="A62" i="15" l="1"/>
  <c r="B61" i="15"/>
  <c r="D61" i="15" s="1"/>
  <c r="E61" i="15" s="1"/>
  <c r="C61" i="15"/>
  <c r="C62" i="15" l="1"/>
  <c r="B62" i="15"/>
  <c r="D62" i="15" s="1"/>
  <c r="E62" i="15" s="1"/>
  <c r="A63" i="15"/>
  <c r="A64" i="15" l="1"/>
  <c r="C63" i="15"/>
  <c r="B63" i="15"/>
  <c r="D63" i="15" s="1"/>
  <c r="E63" i="15" s="1"/>
  <c r="A65" i="15" l="1"/>
  <c r="C64" i="15"/>
  <c r="B64" i="15"/>
  <c r="D64" i="15" s="1"/>
  <c r="E64" i="15" s="1"/>
  <c r="C65" i="15" l="1"/>
  <c r="B65" i="15"/>
  <c r="D65" i="15" s="1"/>
  <c r="E65" i="15" s="1"/>
  <c r="A66" i="15"/>
  <c r="A67" i="15" l="1"/>
  <c r="B66" i="15"/>
  <c r="D66" i="15" s="1"/>
  <c r="E66" i="15" s="1"/>
  <c r="C66" i="15"/>
  <c r="B67" i="15" l="1"/>
  <c r="D67" i="15" s="1"/>
  <c r="E67" i="15" s="1"/>
  <c r="A68" i="15"/>
  <c r="C67" i="15"/>
  <c r="C68" i="15" l="1"/>
  <c r="B68" i="15"/>
  <c r="D68" i="15" s="1"/>
  <c r="E68" i="15" s="1"/>
  <c r="A69" i="15"/>
  <c r="C69" i="15" l="1"/>
  <c r="A70" i="15"/>
  <c r="B69" i="15"/>
  <c r="D69" i="15" s="1"/>
  <c r="E69" i="15" s="1"/>
  <c r="C70" i="15" l="1"/>
  <c r="B70" i="15"/>
  <c r="D70" i="15" s="1"/>
  <c r="E70" i="15" s="1"/>
  <c r="A71" i="15"/>
  <c r="A72" i="15" l="1"/>
  <c r="C71" i="15"/>
  <c r="B71" i="15"/>
  <c r="D71" i="15" s="1"/>
  <c r="E71" i="15" s="1"/>
  <c r="A73" i="15" l="1"/>
  <c r="C72" i="15"/>
  <c r="B72" i="15"/>
  <c r="D72" i="15" s="1"/>
  <c r="E72" i="15" s="1"/>
  <c r="C73" i="15" l="1"/>
  <c r="B73" i="15"/>
  <c r="D73" i="15" s="1"/>
  <c r="E73" i="15" s="1"/>
  <c r="A74" i="15"/>
  <c r="A75" i="15" l="1"/>
  <c r="B74" i="15"/>
  <c r="D74" i="15" s="1"/>
  <c r="E74" i="15" s="1"/>
  <c r="C74" i="15"/>
  <c r="B75" i="15" l="1"/>
  <c r="D75" i="15" s="1"/>
  <c r="E75" i="15" s="1"/>
  <c r="A76" i="15"/>
  <c r="C75" i="15"/>
  <c r="C76" i="15" l="1"/>
  <c r="B76" i="15"/>
  <c r="D76" i="15" s="1"/>
  <c r="E76" i="15" s="1"/>
  <c r="A77" i="15"/>
  <c r="A78" i="15" l="1"/>
  <c r="B77" i="15"/>
  <c r="D77" i="15" s="1"/>
  <c r="E77" i="15" s="1"/>
  <c r="C77" i="15"/>
  <c r="C78" i="15" l="1"/>
  <c r="B78" i="15"/>
  <c r="D78" i="15" s="1"/>
  <c r="E78" i="15" s="1"/>
  <c r="A79" i="15"/>
  <c r="A80" i="15" l="1"/>
  <c r="C79" i="15"/>
  <c r="B79" i="15"/>
  <c r="D79" i="15" s="1"/>
  <c r="E79" i="15" s="1"/>
  <c r="A81" i="15" l="1"/>
  <c r="C80" i="15"/>
  <c r="B80" i="15"/>
  <c r="D80" i="15" s="1"/>
  <c r="E80" i="15" s="1"/>
  <c r="C81" i="15" l="1"/>
  <c r="B81" i="15"/>
  <c r="D81" i="15" s="1"/>
  <c r="E81" i="15" s="1"/>
  <c r="A82" i="15"/>
  <c r="A83" i="15" l="1"/>
  <c r="B82" i="15"/>
  <c r="D82" i="15" s="1"/>
  <c r="E82" i="15" s="1"/>
  <c r="C82" i="15"/>
  <c r="B83" i="15" l="1"/>
  <c r="D83" i="15" s="1"/>
  <c r="E83" i="15" s="1"/>
  <c r="A84" i="15"/>
  <c r="C83" i="15"/>
  <c r="C84" i="15" l="1"/>
  <c r="B84" i="15"/>
  <c r="D84" i="15" s="1"/>
  <c r="E84" i="15" s="1"/>
  <c r="A85" i="15"/>
  <c r="C85" i="15" l="1"/>
  <c r="A86" i="15"/>
  <c r="B85" i="15"/>
  <c r="D85" i="15" s="1"/>
  <c r="E85" i="15" s="1"/>
  <c r="C86" i="15" l="1"/>
  <c r="B86" i="15"/>
  <c r="D86" i="15" s="1"/>
  <c r="E86" i="15" s="1"/>
  <c r="A87" i="15"/>
  <c r="A88" i="15" l="1"/>
  <c r="C87" i="15"/>
  <c r="B87" i="15"/>
  <c r="D87" i="15" s="1"/>
  <c r="E87" i="15" s="1"/>
  <c r="A89" i="15" l="1"/>
  <c r="C88" i="15"/>
  <c r="B88" i="15"/>
  <c r="D88" i="15" s="1"/>
  <c r="E88" i="15" s="1"/>
  <c r="C89" i="15" l="1"/>
  <c r="B89" i="15"/>
  <c r="D89" i="15" s="1"/>
  <c r="E89" i="15" s="1"/>
  <c r="A90" i="15"/>
  <c r="A91" i="15" l="1"/>
  <c r="C90" i="15"/>
  <c r="B90" i="15"/>
  <c r="D90" i="15" s="1"/>
  <c r="E90" i="15" s="1"/>
  <c r="B91" i="15" l="1"/>
  <c r="D91" i="15" s="1"/>
  <c r="E91" i="15" s="1"/>
  <c r="A92" i="15"/>
  <c r="C91" i="15"/>
  <c r="C92" i="15" l="1"/>
  <c r="B92" i="15"/>
  <c r="D92" i="15" s="1"/>
  <c r="E92" i="15" s="1"/>
  <c r="A93" i="15"/>
  <c r="A94" i="15" l="1"/>
  <c r="C93" i="15"/>
  <c r="B93" i="15"/>
  <c r="D93" i="15" s="1"/>
  <c r="E93" i="15" s="1"/>
  <c r="C94" i="15" l="1"/>
  <c r="B94" i="15"/>
  <c r="D94" i="15" s="1"/>
  <c r="E94" i="15" s="1"/>
  <c r="A95" i="15"/>
  <c r="A96" i="15" l="1"/>
  <c r="C95" i="15"/>
  <c r="B95" i="15"/>
  <c r="D95" i="15" s="1"/>
  <c r="E95" i="15" s="1"/>
  <c r="A97" i="15" l="1"/>
  <c r="C96" i="15"/>
  <c r="B96" i="15"/>
  <c r="D96" i="15" s="1"/>
  <c r="E96" i="15" s="1"/>
  <c r="C97" i="15" l="1"/>
  <c r="B97" i="15"/>
  <c r="D97" i="15" s="1"/>
  <c r="E97" i="15" s="1"/>
  <c r="A98" i="15"/>
  <c r="A99" i="15" l="1"/>
  <c r="C98" i="15"/>
  <c r="B98" i="15"/>
  <c r="D98" i="15" s="1"/>
  <c r="E98" i="15" s="1"/>
  <c r="B99" i="15" l="1"/>
  <c r="D99" i="15" s="1"/>
  <c r="E99" i="15" s="1"/>
  <c r="A100" i="15"/>
  <c r="C99" i="15"/>
  <c r="C100" i="15" l="1"/>
  <c r="B100" i="15"/>
  <c r="D100" i="15" s="1"/>
  <c r="E100" i="15" s="1"/>
  <c r="A101" i="15"/>
  <c r="C101" i="15" l="1"/>
  <c r="A102" i="15"/>
  <c r="B101" i="15"/>
  <c r="D101" i="15" s="1"/>
  <c r="E101" i="15" s="1"/>
  <c r="C102" i="15" l="1"/>
  <c r="B102" i="15"/>
  <c r="D102" i="15" s="1"/>
  <c r="E102" i="15" s="1"/>
  <c r="A103" i="15"/>
  <c r="A104" i="15" l="1"/>
  <c r="C103" i="15"/>
  <c r="B103" i="15"/>
  <c r="D103" i="15" s="1"/>
  <c r="E103" i="15" s="1"/>
  <c r="A105" i="15" l="1"/>
  <c r="C104" i="15"/>
  <c r="B104" i="15"/>
  <c r="D104" i="15" s="1"/>
  <c r="E104" i="15" s="1"/>
  <c r="C105" i="15" l="1"/>
  <c r="B105" i="15"/>
  <c r="D105" i="15" s="1"/>
  <c r="E105" i="15" s="1"/>
  <c r="A106" i="15"/>
  <c r="A107" i="15" l="1"/>
  <c r="C106" i="15"/>
  <c r="B106" i="15"/>
  <c r="D106" i="15" s="1"/>
  <c r="E106" i="15" s="1"/>
  <c r="B107" i="15" l="1"/>
  <c r="D107" i="15" s="1"/>
  <c r="E107" i="15" s="1"/>
  <c r="A108" i="15"/>
  <c r="C107" i="15"/>
  <c r="C108" i="15" l="1"/>
  <c r="B108" i="15"/>
  <c r="D108" i="15" s="1"/>
  <c r="E108" i="15" s="1"/>
  <c r="A109" i="15"/>
  <c r="A110" i="15" l="1"/>
  <c r="C109" i="15"/>
  <c r="B109" i="15"/>
  <c r="D109" i="15" s="1"/>
  <c r="E109" i="15" s="1"/>
  <c r="C110" i="15" l="1"/>
  <c r="B110" i="15"/>
  <c r="D110" i="15" s="1"/>
  <c r="E110" i="15" s="1"/>
  <c r="A111" i="15"/>
  <c r="A112" i="15" l="1"/>
  <c r="C111" i="15"/>
  <c r="B111" i="15"/>
  <c r="D111" i="15" s="1"/>
  <c r="E111" i="15" s="1"/>
  <c r="A113" i="15" l="1"/>
  <c r="C112" i="15"/>
  <c r="B112" i="15"/>
  <c r="D112" i="15" s="1"/>
  <c r="E112" i="15" s="1"/>
  <c r="C113" i="15" l="1"/>
  <c r="B113" i="15"/>
  <c r="D113" i="15" s="1"/>
  <c r="E113" i="15" s="1"/>
  <c r="A114" i="15"/>
  <c r="A115" i="15" l="1"/>
  <c r="B114" i="15"/>
  <c r="D114" i="15" s="1"/>
  <c r="E114" i="15" s="1"/>
  <c r="C114" i="15"/>
  <c r="B115" i="15" l="1"/>
  <c r="D115" i="15" s="1"/>
  <c r="E115" i="15" s="1"/>
  <c r="A116" i="15"/>
  <c r="C115" i="15"/>
  <c r="C116" i="15" l="1"/>
  <c r="B116" i="15"/>
  <c r="D116" i="15" s="1"/>
  <c r="E116" i="15" s="1"/>
  <c r="I5" i="14" l="1"/>
  <c r="H5" i="14"/>
  <c r="N7" i="14"/>
  <c r="D8" i="14"/>
  <c r="E8" i="14" s="1"/>
  <c r="E7" i="14"/>
  <c r="D7" i="14"/>
  <c r="G7" i="14" s="1"/>
  <c r="D5" i="14"/>
  <c r="E1" i="14"/>
  <c r="K5" i="14" l="1"/>
  <c r="J5" i="14"/>
  <c r="I7" i="14"/>
  <c r="K7" i="14" s="1"/>
  <c r="N6" i="14"/>
  <c r="F8" i="14"/>
  <c r="E5" i="14"/>
  <c r="E6" i="14"/>
  <c r="F6" i="14"/>
  <c r="G8" i="14"/>
  <c r="F5" i="14"/>
  <c r="G5" i="14"/>
  <c r="G6" i="14"/>
  <c r="I50" i="13"/>
  <c r="I51" i="13"/>
  <c r="I52" i="13"/>
  <c r="I49" i="13"/>
  <c r="F50" i="13"/>
  <c r="F51" i="13"/>
  <c r="F46" i="13"/>
  <c r="F52" i="13"/>
  <c r="F47" i="13"/>
  <c r="F48" i="13"/>
  <c r="F49" i="13"/>
  <c r="K29" i="13"/>
  <c r="L29" i="13"/>
  <c r="M29" i="13"/>
  <c r="N29" i="13"/>
  <c r="K30" i="13"/>
  <c r="L30" i="13"/>
  <c r="M30" i="13"/>
  <c r="N30" i="13"/>
  <c r="K31" i="13"/>
  <c r="L31" i="13"/>
  <c r="M31" i="13"/>
  <c r="N31" i="13"/>
  <c r="K32" i="13"/>
  <c r="L32" i="13"/>
  <c r="M32" i="13"/>
  <c r="N32" i="13"/>
  <c r="K33" i="13"/>
  <c r="L33" i="13"/>
  <c r="M33" i="13"/>
  <c r="N33" i="13"/>
  <c r="K34" i="13"/>
  <c r="L34" i="13"/>
  <c r="M34" i="13"/>
  <c r="N34" i="13"/>
  <c r="K35" i="13"/>
  <c r="L35" i="13"/>
  <c r="M35" i="13"/>
  <c r="N35" i="13"/>
  <c r="K42" i="13"/>
  <c r="L42" i="13"/>
  <c r="M42" i="13"/>
  <c r="N42" i="13"/>
  <c r="M28" i="13"/>
  <c r="L28" i="13"/>
  <c r="K28" i="13"/>
  <c r="B39" i="13"/>
  <c r="L39" i="13" s="1"/>
  <c r="B38" i="13"/>
  <c r="K38" i="13" s="1"/>
  <c r="A37" i="13"/>
  <c r="L37" i="13" s="1"/>
  <c r="A36" i="13"/>
  <c r="B41" i="13"/>
  <c r="A41" i="13"/>
  <c r="B40" i="13"/>
  <c r="A40" i="13"/>
  <c r="L40" i="13" s="1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28" i="13"/>
  <c r="N28" i="13"/>
  <c r="B24" i="13"/>
  <c r="B23" i="13"/>
  <c r="B22" i="13"/>
  <c r="B21" i="13"/>
  <c r="D24" i="13"/>
  <c r="D22" i="13"/>
  <c r="D23" i="13"/>
  <c r="D21" i="13"/>
  <c r="E19" i="13"/>
  <c r="G19" i="13" s="1"/>
  <c r="E20" i="13"/>
  <c r="G20" i="13" s="1"/>
  <c r="E18" i="13"/>
  <c r="G18" i="13" s="1"/>
  <c r="K5" i="13"/>
  <c r="M5" i="13"/>
  <c r="K6" i="13"/>
  <c r="M6" i="13"/>
  <c r="K7" i="13"/>
  <c r="M7" i="13"/>
  <c r="K8" i="13"/>
  <c r="M8" i="13"/>
  <c r="K9" i="13"/>
  <c r="M9" i="13"/>
  <c r="K10" i="13"/>
  <c r="M10" i="13"/>
  <c r="K11" i="13"/>
  <c r="M11" i="13"/>
  <c r="K12" i="13"/>
  <c r="M12" i="13"/>
  <c r="K13" i="13"/>
  <c r="M13" i="13"/>
  <c r="K14" i="13"/>
  <c r="M14" i="13"/>
  <c r="N4" i="13"/>
  <c r="M4" i="13"/>
  <c r="L4" i="13"/>
  <c r="K4" i="13"/>
  <c r="J4" i="13"/>
  <c r="I4" i="13"/>
  <c r="H4" i="13"/>
  <c r="G4" i="13"/>
  <c r="G6" i="13"/>
  <c r="I6" i="13"/>
  <c r="G7" i="13"/>
  <c r="I7" i="13"/>
  <c r="G8" i="13"/>
  <c r="I8" i="13"/>
  <c r="G9" i="13"/>
  <c r="I9" i="13"/>
  <c r="G10" i="13"/>
  <c r="I10" i="13"/>
  <c r="G11" i="13"/>
  <c r="I11" i="13"/>
  <c r="G12" i="13"/>
  <c r="I12" i="13"/>
  <c r="G13" i="13"/>
  <c r="I13" i="13"/>
  <c r="G14" i="13"/>
  <c r="I14" i="13"/>
  <c r="B14" i="13"/>
  <c r="D14" i="13"/>
  <c r="F14" i="13"/>
  <c r="F11" i="13"/>
  <c r="F9" i="13"/>
  <c r="F8" i="13"/>
  <c r="F7" i="13"/>
  <c r="F13" i="13"/>
  <c r="F12" i="13"/>
  <c r="F10" i="13"/>
  <c r="F6" i="13"/>
  <c r="D11" i="13"/>
  <c r="D9" i="13"/>
  <c r="D8" i="13"/>
  <c r="D7" i="13"/>
  <c r="D13" i="13"/>
  <c r="D12" i="13"/>
  <c r="D10" i="13"/>
  <c r="D6" i="13"/>
  <c r="B13" i="13"/>
  <c r="B12" i="13"/>
  <c r="B11" i="13"/>
  <c r="B10" i="13"/>
  <c r="B9" i="13"/>
  <c r="B8" i="13"/>
  <c r="J8" i="13" s="1"/>
  <c r="B7" i="13"/>
  <c r="B6" i="13"/>
  <c r="J6" i="13" s="1"/>
  <c r="B5" i="13"/>
  <c r="D5" i="13"/>
  <c r="F5" i="13"/>
  <c r="I5" i="13"/>
  <c r="G5" i="13"/>
  <c r="D6" i="12"/>
  <c r="D5" i="12"/>
  <c r="C17" i="12"/>
  <c r="C18" i="12"/>
  <c r="C19" i="12"/>
  <c r="C20" i="12"/>
  <c r="C21" i="12"/>
  <c r="C16" i="12"/>
  <c r="C13" i="12"/>
  <c r="C12" i="12"/>
  <c r="C11" i="12"/>
  <c r="C10" i="12"/>
  <c r="C9" i="12"/>
  <c r="C8" i="12"/>
  <c r="D4" i="12"/>
  <c r="D3" i="12"/>
  <c r="C4" i="12"/>
  <c r="C5" i="12"/>
  <c r="C6" i="12"/>
  <c r="C3" i="12"/>
  <c r="B6" i="12"/>
  <c r="B5" i="12"/>
  <c r="B3" i="12"/>
  <c r="B4" i="12"/>
  <c r="A6" i="12"/>
  <c r="A5" i="12"/>
  <c r="A4" i="12"/>
  <c r="A3" i="12"/>
  <c r="H6" i="14" l="1"/>
  <c r="J6" i="14" s="1"/>
  <c r="H8" i="14"/>
  <c r="J8" i="14" s="1"/>
  <c r="I8" i="14"/>
  <c r="K8" i="14" s="1"/>
  <c r="I6" i="14"/>
  <c r="K6" i="14" s="1"/>
  <c r="M7" i="14"/>
  <c r="M5" i="14"/>
  <c r="L7" i="14"/>
  <c r="L5" i="14"/>
  <c r="M41" i="13"/>
  <c r="E22" i="13"/>
  <c r="N9" i="13"/>
  <c r="P34" i="13"/>
  <c r="T34" i="13" s="1"/>
  <c r="P30" i="13"/>
  <c r="T30" i="13" s="1"/>
  <c r="N38" i="13"/>
  <c r="J10" i="13"/>
  <c r="H7" i="13"/>
  <c r="K39" i="13"/>
  <c r="K37" i="13"/>
  <c r="E23" i="13"/>
  <c r="N5" i="13"/>
  <c r="H6" i="13"/>
  <c r="P42" i="13"/>
  <c r="T42" i="13" s="1"/>
  <c r="H12" i="13"/>
  <c r="L12" i="13"/>
  <c r="H13" i="13"/>
  <c r="J14" i="13"/>
  <c r="L41" i="13"/>
  <c r="K40" i="13"/>
  <c r="G22" i="13"/>
  <c r="L5" i="13"/>
  <c r="G23" i="13"/>
  <c r="M38" i="13"/>
  <c r="N11" i="13"/>
  <c r="L8" i="13"/>
  <c r="L13" i="13"/>
  <c r="N6" i="13"/>
  <c r="J12" i="13"/>
  <c r="E21" i="13"/>
  <c r="G21" i="13" s="1"/>
  <c r="N13" i="13"/>
  <c r="L9" i="13"/>
  <c r="L6" i="13"/>
  <c r="N40" i="13"/>
  <c r="H9" i="13"/>
  <c r="M40" i="13"/>
  <c r="N7" i="13"/>
  <c r="L10" i="13"/>
  <c r="L14" i="13"/>
  <c r="P35" i="13"/>
  <c r="T35" i="13" s="1"/>
  <c r="N36" i="13"/>
  <c r="M36" i="13"/>
  <c r="K41" i="13"/>
  <c r="P32" i="13"/>
  <c r="T32" i="13" s="1"/>
  <c r="L38" i="13"/>
  <c r="L36" i="13"/>
  <c r="K36" i="13"/>
  <c r="P28" i="13"/>
  <c r="T28" i="13" s="1"/>
  <c r="N41" i="13"/>
  <c r="N39" i="13"/>
  <c r="N37" i="13"/>
  <c r="M39" i="13"/>
  <c r="M37" i="13"/>
  <c r="P33" i="13"/>
  <c r="T33" i="13" s="1"/>
  <c r="P31" i="13"/>
  <c r="T31" i="13" s="1"/>
  <c r="P29" i="13"/>
  <c r="T29" i="13" s="1"/>
  <c r="H14" i="13"/>
  <c r="J7" i="13"/>
  <c r="H10" i="13"/>
  <c r="H8" i="13"/>
  <c r="L11" i="13"/>
  <c r="L7" i="13"/>
  <c r="J13" i="13"/>
  <c r="J11" i="13"/>
  <c r="J9" i="13"/>
  <c r="N14" i="13"/>
  <c r="N12" i="13"/>
  <c r="N10" i="13"/>
  <c r="N8" i="13"/>
  <c r="H11" i="13"/>
  <c r="E24" i="13"/>
  <c r="G24" i="13" s="1"/>
  <c r="J5" i="13"/>
  <c r="H5" i="13"/>
  <c r="M6" i="14" l="1"/>
  <c r="N8" i="14"/>
  <c r="M8" i="14"/>
  <c r="L8" i="14"/>
  <c r="L6" i="14"/>
  <c r="P40" i="13"/>
  <c r="T40" i="13" s="1"/>
  <c r="P38" i="13"/>
  <c r="T38" i="13" s="1"/>
  <c r="P37" i="13"/>
  <c r="T37" i="13" s="1"/>
  <c r="P41" i="13"/>
  <c r="T41" i="13" s="1"/>
  <c r="P39" i="13"/>
  <c r="T39" i="13" s="1"/>
  <c r="P36" i="13"/>
  <c r="T36" i="13" s="1"/>
  <c r="I50" i="4"/>
  <c r="F52" i="4"/>
  <c r="G52" i="4"/>
  <c r="G54" i="4"/>
  <c r="F57" i="4"/>
  <c r="G57" i="4"/>
  <c r="F58" i="4"/>
  <c r="G58" i="4"/>
  <c r="G50" i="4"/>
  <c r="F50" i="4"/>
  <c r="E58" i="4"/>
  <c r="I58" i="4" s="1"/>
  <c r="E57" i="4"/>
  <c r="I57" i="4" s="1"/>
  <c r="E56" i="4"/>
  <c r="G56" i="4" s="1"/>
  <c r="E55" i="4"/>
  <c r="F55" i="4" s="1"/>
  <c r="E54" i="4"/>
  <c r="F54" i="4" s="1"/>
  <c r="E53" i="4"/>
  <c r="F53" i="4" s="1"/>
  <c r="E52" i="4"/>
  <c r="I52" i="4" s="1"/>
  <c r="E51" i="4"/>
  <c r="F51" i="4" s="1"/>
  <c r="C46" i="4"/>
  <c r="C45" i="4"/>
  <c r="E45" i="4" s="1"/>
  <c r="C44" i="4"/>
  <c r="C43" i="4"/>
  <c r="E43" i="4" s="1"/>
  <c r="C42" i="4"/>
  <c r="C41" i="4"/>
  <c r="E41" i="4" s="1"/>
  <c r="C40" i="4"/>
  <c r="C39" i="4"/>
  <c r="E39" i="4" s="1"/>
  <c r="E38" i="4"/>
  <c r="D38" i="4"/>
  <c r="G38" i="4" s="1"/>
  <c r="G21" i="1"/>
  <c r="F21" i="1"/>
  <c r="E21" i="1"/>
  <c r="F26" i="1"/>
  <c r="G20" i="1"/>
  <c r="F20" i="1"/>
  <c r="K20" i="1" s="1"/>
  <c r="M20" i="1" s="1"/>
  <c r="E20" i="1"/>
  <c r="L20" i="1" s="1"/>
  <c r="G19" i="1"/>
  <c r="F19" i="1"/>
  <c r="E19" i="1"/>
  <c r="L19" i="1" s="1"/>
  <c r="I16" i="1"/>
  <c r="G26" i="1"/>
  <c r="E26" i="1"/>
  <c r="G25" i="1"/>
  <c r="F25" i="1"/>
  <c r="H25" i="1" s="1"/>
  <c r="J25" i="1" s="1"/>
  <c r="E25" i="1"/>
  <c r="I25" i="1" s="1"/>
  <c r="G16" i="1"/>
  <c r="H16" i="1" s="1"/>
  <c r="J16" i="1" s="1"/>
  <c r="K16" i="1" s="1"/>
  <c r="F16" i="1"/>
  <c r="E16" i="1"/>
  <c r="G15" i="1"/>
  <c r="F15" i="1"/>
  <c r="E15" i="1"/>
  <c r="H15" i="1" s="1"/>
  <c r="E12" i="1"/>
  <c r="F12" i="1"/>
  <c r="G14" i="1"/>
  <c r="H14" i="1" s="1"/>
  <c r="F14" i="1"/>
  <c r="E14" i="1"/>
  <c r="I54" i="4" l="1"/>
  <c r="D41" i="4"/>
  <c r="G41" i="4" s="1"/>
  <c r="D45" i="4"/>
  <c r="G45" i="4" s="1"/>
  <c r="G53" i="4"/>
  <c r="D39" i="4"/>
  <c r="F56" i="4"/>
  <c r="I56" i="4" s="1"/>
  <c r="D43" i="4"/>
  <c r="G43" i="4" s="1"/>
  <c r="G55" i="4"/>
  <c r="I55" i="4" s="1"/>
  <c r="G51" i="4"/>
  <c r="I51" i="4" s="1"/>
  <c r="I53" i="4"/>
  <c r="G39" i="4"/>
  <c r="D40" i="4"/>
  <c r="D42" i="4"/>
  <c r="D44" i="4"/>
  <c r="D46" i="4"/>
  <c r="E40" i="4"/>
  <c r="E42" i="4"/>
  <c r="E44" i="4"/>
  <c r="E46" i="4"/>
  <c r="G46" i="4" s="1"/>
  <c r="I26" i="1"/>
  <c r="H19" i="1"/>
  <c r="I21" i="1"/>
  <c r="K21" i="1"/>
  <c r="H21" i="1"/>
  <c r="L21" i="1"/>
  <c r="O20" i="1"/>
  <c r="N20" i="1"/>
  <c r="P20" i="1" s="1"/>
  <c r="I20" i="1"/>
  <c r="K19" i="1"/>
  <c r="M19" i="1" s="1"/>
  <c r="O19" i="1" s="1"/>
  <c r="I19" i="1"/>
  <c r="J19" i="1" s="1"/>
  <c r="H20" i="1"/>
  <c r="I15" i="1"/>
  <c r="J15" i="1" s="1"/>
  <c r="K15" i="1" s="1"/>
  <c r="I14" i="1"/>
  <c r="J14" i="1" s="1"/>
  <c r="K14" i="1" s="1"/>
  <c r="L14" i="1" s="1"/>
  <c r="N14" i="1" s="1"/>
  <c r="H26" i="1"/>
  <c r="K26" i="1" s="1"/>
  <c r="G12" i="1"/>
  <c r="H12" i="1" s="1"/>
  <c r="I12" i="1" s="1"/>
  <c r="G44" i="4" l="1"/>
  <c r="G42" i="4"/>
  <c r="G40" i="4"/>
  <c r="N19" i="1"/>
  <c r="P19" i="1" s="1"/>
  <c r="J20" i="1"/>
  <c r="M21" i="1"/>
  <c r="O21" i="1" s="1"/>
  <c r="J21" i="1"/>
  <c r="N26" i="1"/>
  <c r="M26" i="1"/>
  <c r="L26" i="1"/>
  <c r="M25" i="1"/>
  <c r="L16" i="1"/>
  <c r="K25" i="1"/>
  <c r="N25" i="1" s="1"/>
  <c r="J26" i="1"/>
  <c r="L15" i="1"/>
  <c r="N21" i="1" l="1"/>
  <c r="P21" i="1" s="1"/>
  <c r="L25" i="1"/>
  <c r="P26" i="1"/>
  <c r="J12" i="1" l="1"/>
  <c r="E8" i="1" l="1"/>
  <c r="D8" i="1"/>
  <c r="H8" i="1" s="1"/>
  <c r="E7" i="1"/>
  <c r="D7" i="1"/>
  <c r="H7" i="1" s="1"/>
  <c r="E4" i="1"/>
  <c r="D4" i="1"/>
  <c r="D6" i="1"/>
  <c r="H6" i="1" s="1"/>
  <c r="E6" i="1"/>
  <c r="E5" i="1"/>
  <c r="D5" i="1"/>
  <c r="E3" i="1"/>
  <c r="D3" i="1"/>
  <c r="F4" i="9"/>
  <c r="G4" i="9"/>
  <c r="F5" i="9"/>
  <c r="G5" i="9"/>
  <c r="F6" i="9"/>
  <c r="G6" i="9"/>
  <c r="F7" i="9"/>
  <c r="G7" i="9"/>
  <c r="F8" i="9"/>
  <c r="G8" i="9"/>
  <c r="F9" i="9"/>
  <c r="G9" i="9"/>
  <c r="F10" i="9"/>
  <c r="G10" i="9"/>
  <c r="F11" i="9"/>
  <c r="G11" i="9"/>
  <c r="F12" i="9"/>
  <c r="G12" i="9"/>
  <c r="G3" i="9"/>
  <c r="F3" i="9"/>
  <c r="A12" i="9"/>
  <c r="D12" i="9" s="1"/>
  <c r="C11" i="9"/>
  <c r="A11" i="9"/>
  <c r="D11" i="9" s="1"/>
  <c r="D10" i="9"/>
  <c r="C10" i="9"/>
  <c r="D9" i="9"/>
  <c r="C9" i="9"/>
  <c r="D8" i="9"/>
  <c r="C8" i="9"/>
  <c r="C7" i="9"/>
  <c r="D7" i="9"/>
  <c r="D6" i="9"/>
  <c r="C6" i="9"/>
  <c r="A8" i="9"/>
  <c r="A9" i="9"/>
  <c r="D5" i="9"/>
  <c r="C5" i="9"/>
  <c r="D4" i="9"/>
  <c r="C4" i="9"/>
  <c r="A5" i="9"/>
  <c r="A4" i="9"/>
  <c r="D3" i="9"/>
  <c r="C3" i="9"/>
  <c r="C118" i="7"/>
  <c r="A121" i="7"/>
  <c r="A120" i="7"/>
  <c r="A119" i="7"/>
  <c r="A118" i="7"/>
  <c r="A117" i="7"/>
  <c r="C111" i="7"/>
  <c r="B113" i="7"/>
  <c r="B112" i="7"/>
  <c r="B111" i="7"/>
  <c r="B110" i="7"/>
  <c r="A113" i="7"/>
  <c r="C113" i="7" s="1"/>
  <c r="A111" i="7"/>
  <c r="A112" i="7"/>
  <c r="C112" i="7" s="1"/>
  <c r="A110" i="7"/>
  <c r="C110" i="7" s="1"/>
  <c r="B109" i="7"/>
  <c r="B108" i="7"/>
  <c r="B107" i="7"/>
  <c r="A109" i="7"/>
  <c r="C109" i="7" s="1"/>
  <c r="A107" i="7"/>
  <c r="C107" i="7" s="1"/>
  <c r="A108" i="7"/>
  <c r="C108" i="7" s="1"/>
  <c r="B106" i="7"/>
  <c r="C106" i="7" s="1"/>
  <c r="A106" i="7"/>
  <c r="D95" i="7"/>
  <c r="E95" i="7"/>
  <c r="G95" i="7" s="1"/>
  <c r="D96" i="7"/>
  <c r="G96" i="7" s="1"/>
  <c r="D100" i="7"/>
  <c r="D101" i="7"/>
  <c r="E94" i="7"/>
  <c r="D94" i="7"/>
  <c r="C102" i="7"/>
  <c r="D102" i="7" s="1"/>
  <c r="C101" i="7"/>
  <c r="E101" i="7" s="1"/>
  <c r="C100" i="7"/>
  <c r="E100" i="7" s="1"/>
  <c r="C99" i="7"/>
  <c r="C98" i="7"/>
  <c r="D98" i="7" s="1"/>
  <c r="C97" i="7"/>
  <c r="C96" i="7"/>
  <c r="E96" i="7" s="1"/>
  <c r="C95" i="7"/>
  <c r="E82" i="7"/>
  <c r="B84" i="7"/>
  <c r="C84" i="7"/>
  <c r="C86" i="7"/>
  <c r="C87" i="7"/>
  <c r="B88" i="7"/>
  <c r="C88" i="7"/>
  <c r="C90" i="7"/>
  <c r="C82" i="7"/>
  <c r="B82" i="7"/>
  <c r="A90" i="7"/>
  <c r="A89" i="7"/>
  <c r="B89" i="7" s="1"/>
  <c r="A88" i="7"/>
  <c r="E88" i="7" s="1"/>
  <c r="A87" i="7"/>
  <c r="B87" i="7" s="1"/>
  <c r="E87" i="7" s="1"/>
  <c r="A86" i="7"/>
  <c r="B86" i="7" s="1"/>
  <c r="E86" i="7" s="1"/>
  <c r="A85" i="7"/>
  <c r="B85" i="7" s="1"/>
  <c r="A84" i="7"/>
  <c r="E84" i="7" s="1"/>
  <c r="A83" i="7"/>
  <c r="B83" i="7" s="1"/>
  <c r="C12" i="9" l="1"/>
  <c r="E83" i="7"/>
  <c r="E99" i="7"/>
  <c r="C83" i="7"/>
  <c r="D99" i="7"/>
  <c r="G99" i="7" s="1"/>
  <c r="E102" i="7"/>
  <c r="G102" i="7" s="1"/>
  <c r="E98" i="7"/>
  <c r="G98" i="7" s="1"/>
  <c r="B90" i="7"/>
  <c r="E90" i="7" s="1"/>
  <c r="G100" i="7"/>
  <c r="E97" i="7"/>
  <c r="C89" i="7"/>
  <c r="C85" i="7"/>
  <c r="E85" i="7" s="1"/>
  <c r="E89" i="7"/>
  <c r="G101" i="7"/>
  <c r="D97" i="7"/>
  <c r="G97" i="7" s="1"/>
  <c r="G94" i="7"/>
  <c r="A107" i="5" l="1"/>
  <c r="E109" i="5"/>
  <c r="F109" i="5"/>
  <c r="G109" i="5" s="1"/>
  <c r="E110" i="5"/>
  <c r="F110" i="5"/>
  <c r="E111" i="5"/>
  <c r="F111" i="5"/>
  <c r="G111" i="5" s="1"/>
  <c r="E112" i="5"/>
  <c r="F112" i="5"/>
  <c r="E113" i="5"/>
  <c r="O113" i="5" s="1"/>
  <c r="F113" i="5"/>
  <c r="E114" i="5"/>
  <c r="F114" i="5"/>
  <c r="O114" i="5" s="1"/>
  <c r="E115" i="5"/>
  <c r="F115" i="5"/>
  <c r="G115" i="5" s="1"/>
  <c r="E116" i="5"/>
  <c r="F116" i="5"/>
  <c r="F108" i="5"/>
  <c r="E108" i="5"/>
  <c r="O109" i="5"/>
  <c r="O110" i="5"/>
  <c r="O112" i="5"/>
  <c r="O116" i="5"/>
  <c r="E106" i="5"/>
  <c r="F106" i="5"/>
  <c r="J108" i="5"/>
  <c r="K108" i="5" s="1"/>
  <c r="H109" i="5"/>
  <c r="J109" i="5"/>
  <c r="K109" i="5" s="1"/>
  <c r="H110" i="5"/>
  <c r="J110" i="5"/>
  <c r="K110" i="5" s="1"/>
  <c r="J111" i="5"/>
  <c r="K111" i="5" s="1"/>
  <c r="H112" i="5"/>
  <c r="J112" i="5"/>
  <c r="K112" i="5" s="1"/>
  <c r="G113" i="5"/>
  <c r="H113" i="5"/>
  <c r="J113" i="5"/>
  <c r="K113" i="5" s="1"/>
  <c r="H114" i="5"/>
  <c r="J114" i="5"/>
  <c r="K114" i="5" s="1"/>
  <c r="J115" i="5"/>
  <c r="K115" i="5" s="1"/>
  <c r="H116" i="5"/>
  <c r="B107" i="5"/>
  <c r="C107" i="5"/>
  <c r="E107" i="5" s="1"/>
  <c r="D107" i="5"/>
  <c r="A117" i="5"/>
  <c r="B117" i="5"/>
  <c r="C117" i="5"/>
  <c r="D117" i="5"/>
  <c r="F117" i="5" s="1"/>
  <c r="J117" i="5"/>
  <c r="K117" i="5" s="1"/>
  <c r="A118" i="5"/>
  <c r="B118" i="5"/>
  <c r="C118" i="5"/>
  <c r="D118" i="5"/>
  <c r="J118" i="5"/>
  <c r="K118" i="5" s="1"/>
  <c r="A119" i="5"/>
  <c r="B119" i="5"/>
  <c r="C119" i="5"/>
  <c r="D119" i="5"/>
  <c r="J119" i="5"/>
  <c r="K119" i="5" s="1"/>
  <c r="A120" i="5"/>
  <c r="B120" i="5"/>
  <c r="C120" i="5"/>
  <c r="D120" i="5"/>
  <c r="J120" i="5"/>
  <c r="K120" i="5" s="1"/>
  <c r="A121" i="5"/>
  <c r="B121" i="5"/>
  <c r="C121" i="5"/>
  <c r="D121" i="5"/>
  <c r="J121" i="5"/>
  <c r="K121" i="5" s="1"/>
  <c r="A122" i="5"/>
  <c r="B122" i="5"/>
  <c r="C122" i="5"/>
  <c r="E122" i="5" s="1"/>
  <c r="O122" i="5" s="1"/>
  <c r="D122" i="5"/>
  <c r="F122" i="5" s="1"/>
  <c r="J122" i="5"/>
  <c r="K122" i="5" s="1"/>
  <c r="A123" i="5"/>
  <c r="B123" i="5"/>
  <c r="C123" i="5"/>
  <c r="D123" i="5"/>
  <c r="J123" i="5"/>
  <c r="K123" i="5" s="1"/>
  <c r="A124" i="5"/>
  <c r="B124" i="5"/>
  <c r="C124" i="5"/>
  <c r="D124" i="5"/>
  <c r="J124" i="5"/>
  <c r="K124" i="5"/>
  <c r="A125" i="5"/>
  <c r="B125" i="5"/>
  <c r="C125" i="5"/>
  <c r="D125" i="5"/>
  <c r="F125" i="5" s="1"/>
  <c r="C38" i="10"/>
  <c r="D38" i="10" s="1"/>
  <c r="C39" i="10"/>
  <c r="D39" i="10" s="1"/>
  <c r="C40" i="10"/>
  <c r="D40" i="10" s="1"/>
  <c r="C41" i="10"/>
  <c r="E41" i="10" s="1"/>
  <c r="C42" i="10"/>
  <c r="D42" i="10" s="1"/>
  <c r="C43" i="10"/>
  <c r="D43" i="10" s="1"/>
  <c r="C44" i="10"/>
  <c r="D44" i="10" s="1"/>
  <c r="C45" i="10"/>
  <c r="E45" i="10" s="1"/>
  <c r="C37" i="10"/>
  <c r="E37" i="10" s="1"/>
  <c r="D83" i="5"/>
  <c r="C83" i="5"/>
  <c r="B83" i="5"/>
  <c r="A83" i="5"/>
  <c r="D82" i="5"/>
  <c r="C82" i="5"/>
  <c r="B82" i="5"/>
  <c r="A82" i="5"/>
  <c r="E44" i="5"/>
  <c r="F44" i="5"/>
  <c r="G44" i="5"/>
  <c r="E45" i="5"/>
  <c r="F45" i="5"/>
  <c r="G45" i="5"/>
  <c r="E100" i="5"/>
  <c r="F101" i="5"/>
  <c r="G101" i="5"/>
  <c r="A84" i="5"/>
  <c r="B84" i="5"/>
  <c r="C84" i="5"/>
  <c r="D84" i="5"/>
  <c r="A85" i="5"/>
  <c r="F85" i="5" s="1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F97" i="5" s="1"/>
  <c r="B97" i="5"/>
  <c r="C97" i="5"/>
  <c r="D97" i="5"/>
  <c r="A98" i="5"/>
  <c r="B98" i="5"/>
  <c r="C98" i="5"/>
  <c r="D98" i="5"/>
  <c r="A99" i="5"/>
  <c r="F99" i="5" s="1"/>
  <c r="B99" i="5"/>
  <c r="C99" i="5"/>
  <c r="D99" i="5"/>
  <c r="B81" i="5"/>
  <c r="C81" i="5"/>
  <c r="D81" i="5"/>
  <c r="A81" i="5"/>
  <c r="E77" i="5"/>
  <c r="F77" i="5" s="1"/>
  <c r="I77" i="5" s="1"/>
  <c r="E76" i="5"/>
  <c r="F76" i="5" s="1"/>
  <c r="I76" i="5" s="1"/>
  <c r="E75" i="5"/>
  <c r="F75" i="5" s="1"/>
  <c r="I75" i="5" s="1"/>
  <c r="E74" i="5"/>
  <c r="F74" i="5" s="1"/>
  <c r="I74" i="5" s="1"/>
  <c r="E73" i="5"/>
  <c r="F73" i="5" s="1"/>
  <c r="I73" i="5" s="1"/>
  <c r="E72" i="5"/>
  <c r="F72" i="5" s="1"/>
  <c r="I72" i="5" s="1"/>
  <c r="E71" i="5"/>
  <c r="F71" i="5" s="1"/>
  <c r="I71" i="5" s="1"/>
  <c r="E70" i="5"/>
  <c r="F70" i="5" s="1"/>
  <c r="I70" i="5" s="1"/>
  <c r="E69" i="5"/>
  <c r="F69" i="5" s="1"/>
  <c r="I69" i="5" s="1"/>
  <c r="E68" i="5"/>
  <c r="F68" i="5" s="1"/>
  <c r="I68" i="5" s="1"/>
  <c r="E67" i="5"/>
  <c r="F67" i="5" s="1"/>
  <c r="I67" i="5" s="1"/>
  <c r="E66" i="5"/>
  <c r="G66" i="5" s="1"/>
  <c r="J66" i="5" s="1"/>
  <c r="E65" i="5"/>
  <c r="G65" i="5" s="1"/>
  <c r="J65" i="5" s="1"/>
  <c r="D45" i="10" l="1"/>
  <c r="D41" i="10"/>
  <c r="G45" i="10"/>
  <c r="G41" i="10"/>
  <c r="E44" i="10"/>
  <c r="G44" i="10" s="1"/>
  <c r="E40" i="10"/>
  <c r="G40" i="10" s="1"/>
  <c r="E43" i="10"/>
  <c r="G43" i="10" s="1"/>
  <c r="E39" i="10"/>
  <c r="G39" i="10" s="1"/>
  <c r="D37" i="10"/>
  <c r="E42" i="10"/>
  <c r="G42" i="10" s="1"/>
  <c r="E38" i="10"/>
  <c r="G38" i="10" s="1"/>
  <c r="F119" i="5"/>
  <c r="G119" i="5" s="1"/>
  <c r="M113" i="5"/>
  <c r="O115" i="5"/>
  <c r="O111" i="5"/>
  <c r="E125" i="5"/>
  <c r="H125" i="5" s="1"/>
  <c r="E119" i="5"/>
  <c r="F123" i="5"/>
  <c r="G123" i="5" s="1"/>
  <c r="F120" i="5"/>
  <c r="O120" i="5" s="1"/>
  <c r="E117" i="5"/>
  <c r="H117" i="5" s="1"/>
  <c r="G99" i="5"/>
  <c r="G97" i="5"/>
  <c r="G95" i="5"/>
  <c r="G93" i="5"/>
  <c r="E123" i="5"/>
  <c r="H123" i="5" s="1"/>
  <c r="P123" i="5" s="1"/>
  <c r="E120" i="5"/>
  <c r="F124" i="5"/>
  <c r="G124" i="5" s="1"/>
  <c r="P124" i="5" s="1"/>
  <c r="F121" i="5"/>
  <c r="F118" i="5"/>
  <c r="G118" i="5" s="1"/>
  <c r="P118" i="5" s="1"/>
  <c r="E124" i="5"/>
  <c r="O123" i="5"/>
  <c r="E121" i="5"/>
  <c r="H121" i="5" s="1"/>
  <c r="E118" i="5"/>
  <c r="F107" i="5"/>
  <c r="G107" i="5" s="1"/>
  <c r="O121" i="5"/>
  <c r="O119" i="5"/>
  <c r="O125" i="5"/>
  <c r="O117" i="5"/>
  <c r="H115" i="5"/>
  <c r="P115" i="5" s="1"/>
  <c r="F66" i="5"/>
  <c r="I66" i="5" s="1"/>
  <c r="F81" i="5"/>
  <c r="P109" i="5"/>
  <c r="P113" i="5"/>
  <c r="M109" i="5"/>
  <c r="H111" i="5"/>
  <c r="M111" i="5" s="1"/>
  <c r="O108" i="5"/>
  <c r="H108" i="5"/>
  <c r="G121" i="5"/>
  <c r="P121" i="5" s="1"/>
  <c r="H122" i="5"/>
  <c r="H120" i="5"/>
  <c r="H124" i="5"/>
  <c r="H107" i="5"/>
  <c r="P107" i="5" s="1"/>
  <c r="G125" i="5"/>
  <c r="P125" i="5" s="1"/>
  <c r="G117" i="5"/>
  <c r="P117" i="5" s="1"/>
  <c r="H119" i="5"/>
  <c r="P119" i="5" s="1"/>
  <c r="G120" i="5"/>
  <c r="P120" i="5" s="1"/>
  <c r="H118" i="5"/>
  <c r="E83" i="5"/>
  <c r="G116" i="5"/>
  <c r="P116" i="5" s="1"/>
  <c r="L115" i="5"/>
  <c r="G114" i="5"/>
  <c r="L113" i="5"/>
  <c r="G112" i="5"/>
  <c r="L111" i="5"/>
  <c r="G110" i="5"/>
  <c r="L109" i="5"/>
  <c r="G108" i="5"/>
  <c r="H106" i="5"/>
  <c r="G83" i="5"/>
  <c r="G122" i="5"/>
  <c r="G106" i="5"/>
  <c r="H44" i="5"/>
  <c r="G91" i="5"/>
  <c r="G89" i="5"/>
  <c r="G87" i="5"/>
  <c r="E82" i="5"/>
  <c r="L114" i="5"/>
  <c r="L112" i="5"/>
  <c r="L110" i="5"/>
  <c r="L108" i="5"/>
  <c r="G82" i="5"/>
  <c r="H82" i="5" s="1"/>
  <c r="I82" i="5" s="1"/>
  <c r="J82" i="5" s="1"/>
  <c r="F83" i="5"/>
  <c r="F82" i="5"/>
  <c r="G74" i="5"/>
  <c r="J74" i="5" s="1"/>
  <c r="G71" i="5"/>
  <c r="J71" i="5" s="1"/>
  <c r="G96" i="5"/>
  <c r="E95" i="5"/>
  <c r="E93" i="5"/>
  <c r="E91" i="5"/>
  <c r="E89" i="5"/>
  <c r="E87" i="5"/>
  <c r="E85" i="5"/>
  <c r="H45" i="5"/>
  <c r="G90" i="5"/>
  <c r="G86" i="5"/>
  <c r="E98" i="5"/>
  <c r="E96" i="5"/>
  <c r="F94" i="5"/>
  <c r="E92" i="5"/>
  <c r="F90" i="5"/>
  <c r="E88" i="5"/>
  <c r="E86" i="5"/>
  <c r="E84" i="5"/>
  <c r="G94" i="5"/>
  <c r="G84" i="5"/>
  <c r="G92" i="5"/>
  <c r="G88" i="5"/>
  <c r="G85" i="5"/>
  <c r="H85" i="5" s="1"/>
  <c r="E99" i="5"/>
  <c r="G98" i="5"/>
  <c r="G81" i="5"/>
  <c r="G75" i="5"/>
  <c r="J75" i="5" s="1"/>
  <c r="E97" i="5"/>
  <c r="H97" i="5" s="1"/>
  <c r="F92" i="5"/>
  <c r="E90" i="5"/>
  <c r="E81" i="5"/>
  <c r="F96" i="5"/>
  <c r="E94" i="5"/>
  <c r="F87" i="5"/>
  <c r="G73" i="5"/>
  <c r="J73" i="5" s="1"/>
  <c r="F98" i="5"/>
  <c r="F89" i="5"/>
  <c r="F91" i="5"/>
  <c r="F84" i="5"/>
  <c r="G69" i="5"/>
  <c r="J69" i="5" s="1"/>
  <c r="F93" i="5"/>
  <c r="F86" i="5"/>
  <c r="G77" i="5"/>
  <c r="J77" i="5" s="1"/>
  <c r="F95" i="5"/>
  <c r="F88" i="5"/>
  <c r="G67" i="5"/>
  <c r="J67" i="5" s="1"/>
  <c r="G100" i="5"/>
  <c r="E101" i="5"/>
  <c r="H101" i="5" s="1"/>
  <c r="I101" i="5" s="1"/>
  <c r="J101" i="5" s="1"/>
  <c r="F100" i="5"/>
  <c r="F65" i="5"/>
  <c r="I65" i="5" s="1"/>
  <c r="G70" i="5"/>
  <c r="J70" i="5" s="1"/>
  <c r="G76" i="5"/>
  <c r="J76" i="5" s="1"/>
  <c r="G72" i="5"/>
  <c r="J72" i="5" s="1"/>
  <c r="G68" i="5"/>
  <c r="J68" i="5" s="1"/>
  <c r="G55" i="5"/>
  <c r="F55" i="5"/>
  <c r="E55" i="5"/>
  <c r="G56" i="5"/>
  <c r="F56" i="5"/>
  <c r="E56" i="5"/>
  <c r="G54" i="5"/>
  <c r="F54" i="5"/>
  <c r="E54" i="5"/>
  <c r="G53" i="5"/>
  <c r="F53" i="5"/>
  <c r="E53" i="5"/>
  <c r="G52" i="5"/>
  <c r="F52" i="5"/>
  <c r="E52" i="5"/>
  <c r="G61" i="5"/>
  <c r="F61" i="5"/>
  <c r="E61" i="5"/>
  <c r="G60" i="5"/>
  <c r="F60" i="5"/>
  <c r="E60" i="5"/>
  <c r="G59" i="5"/>
  <c r="F59" i="5"/>
  <c r="E59" i="5"/>
  <c r="E47" i="5"/>
  <c r="F47" i="5"/>
  <c r="G47" i="5"/>
  <c r="E48" i="5"/>
  <c r="F48" i="5"/>
  <c r="G48" i="5"/>
  <c r="E49" i="5"/>
  <c r="F49" i="5"/>
  <c r="G49" i="5"/>
  <c r="G58" i="5"/>
  <c r="F58" i="5"/>
  <c r="E58" i="5"/>
  <c r="G57" i="5"/>
  <c r="F57" i="5"/>
  <c r="E57" i="5"/>
  <c r="G51" i="5"/>
  <c r="F51" i="5"/>
  <c r="E51" i="5"/>
  <c r="G50" i="5"/>
  <c r="F50" i="5"/>
  <c r="E50" i="5"/>
  <c r="G46" i="5"/>
  <c r="F46" i="5"/>
  <c r="E46" i="5"/>
  <c r="G43" i="5"/>
  <c r="F43" i="5"/>
  <c r="E43" i="5"/>
  <c r="E33" i="10"/>
  <c r="G33" i="10" s="1"/>
  <c r="E32" i="10"/>
  <c r="G32" i="10" s="1"/>
  <c r="E31" i="10"/>
  <c r="G31" i="10" s="1"/>
  <c r="E30" i="10"/>
  <c r="G30" i="10"/>
  <c r="E29" i="10"/>
  <c r="G29" i="10" s="1"/>
  <c r="E28" i="10"/>
  <c r="G28" i="10" s="1"/>
  <c r="E26" i="10"/>
  <c r="G26" i="10" s="1"/>
  <c r="E27" i="10"/>
  <c r="G27" i="10" s="1"/>
  <c r="E25" i="10"/>
  <c r="G25" i="10" s="1"/>
  <c r="E24" i="10"/>
  <c r="G24" i="10" s="1"/>
  <c r="E23" i="10"/>
  <c r="G23" i="10" s="1"/>
  <c r="E22" i="10"/>
  <c r="G22" i="10" s="1"/>
  <c r="E21" i="10"/>
  <c r="G21" i="10" s="1"/>
  <c r="I33" i="5"/>
  <c r="G39" i="5"/>
  <c r="H39" i="5"/>
  <c r="I39" i="5"/>
  <c r="G28" i="5"/>
  <c r="K28" i="5" s="1"/>
  <c r="E19" i="5"/>
  <c r="G19" i="5" s="1"/>
  <c r="E9" i="5"/>
  <c r="G9" i="5" s="1"/>
  <c r="A17" i="10"/>
  <c r="B17" i="10"/>
  <c r="A13" i="10"/>
  <c r="B13" i="10"/>
  <c r="A14" i="10"/>
  <c r="B14" i="10"/>
  <c r="A15" i="10"/>
  <c r="B15" i="10"/>
  <c r="A16" i="10"/>
  <c r="B16" i="10"/>
  <c r="B12" i="10"/>
  <c r="A12" i="10"/>
  <c r="C4" i="10"/>
  <c r="E4" i="10" s="1"/>
  <c r="C5" i="10"/>
  <c r="E5" i="10" s="1"/>
  <c r="C6" i="10"/>
  <c r="C15" i="10" s="1"/>
  <c r="C7" i="10"/>
  <c r="C16" i="10" s="1"/>
  <c r="C8" i="10"/>
  <c r="C17" i="10" s="1"/>
  <c r="C3" i="10"/>
  <c r="E3" i="10" s="1"/>
  <c r="L48" i="8"/>
  <c r="L47" i="8"/>
  <c r="L46" i="8"/>
  <c r="L45" i="8"/>
  <c r="L44" i="8"/>
  <c r="L43" i="8"/>
  <c r="L42" i="8"/>
  <c r="L41" i="8"/>
  <c r="L40" i="8"/>
  <c r="L39" i="8"/>
  <c r="L38" i="8"/>
  <c r="L93" i="8"/>
  <c r="L92" i="8"/>
  <c r="L91" i="8"/>
  <c r="L90" i="8"/>
  <c r="L89" i="8"/>
  <c r="L88" i="8"/>
  <c r="L87" i="8"/>
  <c r="L86" i="8"/>
  <c r="L85" i="8"/>
  <c r="L84" i="8"/>
  <c r="L83" i="8"/>
  <c r="L69" i="8"/>
  <c r="L70" i="8"/>
  <c r="L71" i="8"/>
  <c r="L72" i="8"/>
  <c r="L73" i="8"/>
  <c r="L74" i="8"/>
  <c r="L75" i="8"/>
  <c r="L76" i="8"/>
  <c r="L77" i="8"/>
  <c r="L78" i="8"/>
  <c r="L68" i="8"/>
  <c r="H93" i="8"/>
  <c r="G93" i="8"/>
  <c r="H78" i="8"/>
  <c r="G78" i="8"/>
  <c r="G48" i="8"/>
  <c r="H48" i="8"/>
  <c r="L63" i="8"/>
  <c r="K63" i="8"/>
  <c r="O63" i="8" s="1"/>
  <c r="L33" i="8"/>
  <c r="K33" i="8"/>
  <c r="O33" i="8" s="1"/>
  <c r="G84" i="8"/>
  <c r="H84" i="8"/>
  <c r="G85" i="8"/>
  <c r="H85" i="8"/>
  <c r="G86" i="8"/>
  <c r="H86" i="8"/>
  <c r="G87" i="8"/>
  <c r="H87" i="8"/>
  <c r="G88" i="8"/>
  <c r="H88" i="8"/>
  <c r="G89" i="8"/>
  <c r="H89" i="8"/>
  <c r="G90" i="8"/>
  <c r="H90" i="8"/>
  <c r="G91" i="8"/>
  <c r="H91" i="8"/>
  <c r="G92" i="8"/>
  <c r="H92" i="8"/>
  <c r="H83" i="8"/>
  <c r="G83" i="8"/>
  <c r="G69" i="8"/>
  <c r="H69" i="8"/>
  <c r="G70" i="8"/>
  <c r="H70" i="8"/>
  <c r="G71" i="8"/>
  <c r="H71" i="8"/>
  <c r="G72" i="8"/>
  <c r="H72" i="8"/>
  <c r="G73" i="8"/>
  <c r="H73" i="8"/>
  <c r="G74" i="8"/>
  <c r="H74" i="8"/>
  <c r="G75" i="8"/>
  <c r="H75" i="8"/>
  <c r="G76" i="8"/>
  <c r="H76" i="8"/>
  <c r="G77" i="8"/>
  <c r="H77" i="8"/>
  <c r="H68" i="8"/>
  <c r="G68" i="8"/>
  <c r="G39" i="8"/>
  <c r="H39" i="8"/>
  <c r="G40" i="8"/>
  <c r="H40" i="8"/>
  <c r="G41" i="8"/>
  <c r="H41" i="8"/>
  <c r="G42" i="8"/>
  <c r="H42" i="8"/>
  <c r="G43" i="8"/>
  <c r="H43" i="8"/>
  <c r="G44" i="8"/>
  <c r="H44" i="8"/>
  <c r="G45" i="8"/>
  <c r="H45" i="8"/>
  <c r="G46" i="8"/>
  <c r="H46" i="8"/>
  <c r="G47" i="8"/>
  <c r="H47" i="8"/>
  <c r="H38" i="8"/>
  <c r="G38" i="8"/>
  <c r="K54" i="8"/>
  <c r="L54" i="8"/>
  <c r="K55" i="8"/>
  <c r="L55" i="8"/>
  <c r="K56" i="8"/>
  <c r="L56" i="8"/>
  <c r="K57" i="8"/>
  <c r="L57" i="8"/>
  <c r="K58" i="8"/>
  <c r="L58" i="8"/>
  <c r="K59" i="8"/>
  <c r="O59" i="8" s="1"/>
  <c r="L59" i="8"/>
  <c r="K60" i="8"/>
  <c r="L60" i="8"/>
  <c r="K61" i="8"/>
  <c r="L61" i="8"/>
  <c r="K62" i="8"/>
  <c r="L62" i="8"/>
  <c r="L53" i="8"/>
  <c r="K53" i="8"/>
  <c r="L32" i="8"/>
  <c r="K32" i="8"/>
  <c r="L31" i="8"/>
  <c r="K31" i="8"/>
  <c r="K25" i="8"/>
  <c r="L25" i="8"/>
  <c r="K26" i="8"/>
  <c r="L26" i="8"/>
  <c r="K27" i="8"/>
  <c r="L27" i="8"/>
  <c r="K28" i="8"/>
  <c r="L28" i="8"/>
  <c r="K29" i="8"/>
  <c r="O29" i="8" s="1"/>
  <c r="L29" i="8"/>
  <c r="K30" i="8"/>
  <c r="L30" i="8"/>
  <c r="L24" i="8"/>
  <c r="K24" i="8"/>
  <c r="L23" i="8"/>
  <c r="K23" i="8"/>
  <c r="F110" i="8"/>
  <c r="G110" i="8"/>
  <c r="F111" i="8"/>
  <c r="G111" i="8"/>
  <c r="F112" i="8"/>
  <c r="G112" i="8"/>
  <c r="F113" i="8"/>
  <c r="G113" i="8"/>
  <c r="F114" i="8"/>
  <c r="G114" i="8"/>
  <c r="G109" i="8"/>
  <c r="F109" i="8"/>
  <c r="D114" i="8"/>
  <c r="I114" i="8" s="1"/>
  <c r="C114" i="8"/>
  <c r="H114" i="8" s="1"/>
  <c r="G108" i="8"/>
  <c r="F108" i="8"/>
  <c r="C109" i="8"/>
  <c r="H109" i="8" s="1"/>
  <c r="D109" i="8"/>
  <c r="I109" i="8" s="1"/>
  <c r="C110" i="8"/>
  <c r="H110" i="8" s="1"/>
  <c r="D110" i="8"/>
  <c r="I110" i="8" s="1"/>
  <c r="C111" i="8"/>
  <c r="H111" i="8" s="1"/>
  <c r="D111" i="8"/>
  <c r="I111" i="8" s="1"/>
  <c r="C112" i="8"/>
  <c r="H112" i="8" s="1"/>
  <c r="D112" i="8"/>
  <c r="I112" i="8" s="1"/>
  <c r="C113" i="8"/>
  <c r="H113" i="8" s="1"/>
  <c r="D113" i="8"/>
  <c r="I113" i="8" s="1"/>
  <c r="F104" i="8"/>
  <c r="G104" i="8"/>
  <c r="C104" i="8"/>
  <c r="H104" i="8" s="1"/>
  <c r="D104" i="8"/>
  <c r="I104" i="8" s="1"/>
  <c r="F98" i="8"/>
  <c r="G98" i="8"/>
  <c r="F99" i="8"/>
  <c r="G99" i="8"/>
  <c r="F100" i="8"/>
  <c r="G100" i="8"/>
  <c r="F101" i="8"/>
  <c r="G101" i="8"/>
  <c r="F102" i="8"/>
  <c r="G102" i="8"/>
  <c r="F103" i="8"/>
  <c r="G103" i="8"/>
  <c r="C98" i="8"/>
  <c r="H98" i="8" s="1"/>
  <c r="D98" i="8"/>
  <c r="I98" i="8" s="1"/>
  <c r="C99" i="8"/>
  <c r="H99" i="8" s="1"/>
  <c r="D99" i="8"/>
  <c r="I99" i="8" s="1"/>
  <c r="C100" i="8"/>
  <c r="H100" i="8" s="1"/>
  <c r="D100" i="8"/>
  <c r="I100" i="8" s="1"/>
  <c r="C101" i="8"/>
  <c r="H101" i="8" s="1"/>
  <c r="D101" i="8"/>
  <c r="I101" i="8" s="1"/>
  <c r="C102" i="8"/>
  <c r="H102" i="8" s="1"/>
  <c r="D102" i="8"/>
  <c r="I102" i="8" s="1"/>
  <c r="C103" i="8"/>
  <c r="H103" i="8" s="1"/>
  <c r="D103" i="8"/>
  <c r="I103" i="8" s="1"/>
  <c r="D108" i="8"/>
  <c r="I108" i="8" s="1"/>
  <c r="C108" i="8"/>
  <c r="H108" i="8" s="1"/>
  <c r="D97" i="8"/>
  <c r="I97" i="8" s="1"/>
  <c r="C97" i="8"/>
  <c r="H97" i="8" s="1"/>
  <c r="G97" i="8"/>
  <c r="F97" i="8"/>
  <c r="E18" i="8"/>
  <c r="H18" i="8" s="1"/>
  <c r="E17" i="8"/>
  <c r="H17" i="8" s="1"/>
  <c r="E16" i="8"/>
  <c r="H16" i="8" s="1"/>
  <c r="E15" i="8"/>
  <c r="H15" i="8" s="1"/>
  <c r="E14" i="8"/>
  <c r="H14" i="8" s="1"/>
  <c r="E13" i="8"/>
  <c r="H13" i="8" s="1"/>
  <c r="E12" i="8"/>
  <c r="H12" i="8" s="1"/>
  <c r="F8" i="8"/>
  <c r="E8" i="8"/>
  <c r="F7" i="8"/>
  <c r="E7" i="8"/>
  <c r="F6" i="8"/>
  <c r="E6" i="8"/>
  <c r="F5" i="8"/>
  <c r="E5" i="8"/>
  <c r="F4" i="8"/>
  <c r="E4" i="8"/>
  <c r="F3" i="8"/>
  <c r="E3" i="8"/>
  <c r="E15" i="10" l="1"/>
  <c r="E8" i="10"/>
  <c r="C14" i="10"/>
  <c r="H99" i="5"/>
  <c r="O118" i="5"/>
  <c r="M108" i="5"/>
  <c r="P108" i="5"/>
  <c r="O124" i="5"/>
  <c r="O107" i="5"/>
  <c r="M115" i="5"/>
  <c r="H93" i="5"/>
  <c r="H86" i="5"/>
  <c r="P111" i="5"/>
  <c r="M110" i="5"/>
  <c r="P110" i="5"/>
  <c r="P122" i="5"/>
  <c r="M112" i="5"/>
  <c r="P112" i="5"/>
  <c r="M114" i="5"/>
  <c r="P114" i="5"/>
  <c r="H91" i="5"/>
  <c r="H92" i="5"/>
  <c r="H81" i="5"/>
  <c r="H89" i="5"/>
  <c r="H95" i="5"/>
  <c r="H98" i="5"/>
  <c r="H83" i="5"/>
  <c r="I83" i="5" s="1"/>
  <c r="J83" i="5" s="1"/>
  <c r="L82" i="5"/>
  <c r="H87" i="5"/>
  <c r="H94" i="5"/>
  <c r="H96" i="5"/>
  <c r="H84" i="5"/>
  <c r="H90" i="5"/>
  <c r="H88" i="5"/>
  <c r="L101" i="5"/>
  <c r="H100" i="5"/>
  <c r="I100" i="5" s="1"/>
  <c r="J100" i="5" s="1"/>
  <c r="K39" i="5"/>
  <c r="H46" i="5"/>
  <c r="H59" i="5"/>
  <c r="H56" i="5"/>
  <c r="H55" i="5"/>
  <c r="H54" i="5"/>
  <c r="H53" i="5"/>
  <c r="H52" i="5"/>
  <c r="H61" i="5"/>
  <c r="H60" i="5"/>
  <c r="H49" i="5"/>
  <c r="H48" i="5"/>
  <c r="H47" i="5"/>
  <c r="H57" i="5"/>
  <c r="H43" i="5"/>
  <c r="H50" i="5"/>
  <c r="H51" i="5"/>
  <c r="H58" i="5"/>
  <c r="E7" i="10"/>
  <c r="E14" i="10"/>
  <c r="C13" i="10"/>
  <c r="E13" i="10"/>
  <c r="E16" i="10"/>
  <c r="E17" i="10"/>
  <c r="E6" i="10"/>
  <c r="C12" i="10"/>
  <c r="E12" i="10" s="1"/>
  <c r="O57" i="8"/>
  <c r="O62" i="8"/>
  <c r="O30" i="8"/>
  <c r="O27" i="8"/>
  <c r="O56" i="8"/>
  <c r="O60" i="8"/>
  <c r="O32" i="8"/>
  <c r="O61" i="8"/>
  <c r="O54" i="8"/>
  <c r="O58" i="8"/>
  <c r="H6" i="8"/>
  <c r="O53" i="8"/>
  <c r="H3" i="8"/>
  <c r="H7" i="8"/>
  <c r="O55" i="8"/>
  <c r="H4" i="8"/>
  <c r="H8" i="8"/>
  <c r="O24" i="8"/>
  <c r="O28" i="8"/>
  <c r="O31" i="8"/>
  <c r="H5" i="8"/>
  <c r="O23" i="8"/>
  <c r="O25" i="8"/>
  <c r="O26" i="8"/>
  <c r="L100" i="8"/>
  <c r="L103" i="8"/>
  <c r="L111" i="8"/>
  <c r="L110" i="8"/>
  <c r="L99" i="8"/>
  <c r="L98" i="8"/>
  <c r="L97" i="8"/>
  <c r="L101" i="8"/>
  <c r="L113" i="8"/>
  <c r="L114" i="8"/>
  <c r="L102" i="8"/>
  <c r="L104" i="8"/>
  <c r="L112" i="8"/>
  <c r="L109" i="8"/>
  <c r="L108" i="8"/>
  <c r="G38" i="5"/>
  <c r="H38" i="5"/>
  <c r="I38" i="5"/>
  <c r="G37" i="5"/>
  <c r="H37" i="5"/>
  <c r="I37" i="5"/>
  <c r="G33" i="5"/>
  <c r="H33" i="5"/>
  <c r="G34" i="5"/>
  <c r="H34" i="5"/>
  <c r="I34" i="5"/>
  <c r="G35" i="5"/>
  <c r="H35" i="5"/>
  <c r="I35" i="5"/>
  <c r="G36" i="5"/>
  <c r="H36" i="5"/>
  <c r="I36" i="5"/>
  <c r="G27" i="5"/>
  <c r="K27" i="5" s="1"/>
  <c r="G26" i="5"/>
  <c r="K26" i="5" s="1"/>
  <c r="G25" i="5"/>
  <c r="K25" i="5" s="1"/>
  <c r="G24" i="5"/>
  <c r="K24" i="5" s="1"/>
  <c r="I32" i="5"/>
  <c r="H32" i="5"/>
  <c r="G32" i="5"/>
  <c r="G23" i="5"/>
  <c r="K23" i="5" s="1"/>
  <c r="A62" i="7"/>
  <c r="E62" i="7" s="1"/>
  <c r="A37" i="7"/>
  <c r="B37" i="7" s="1"/>
  <c r="C37" i="7" s="1"/>
  <c r="E37" i="7" s="1"/>
  <c r="A35" i="7"/>
  <c r="B35" i="7" s="1"/>
  <c r="C35" i="7" s="1"/>
  <c r="E35" i="7" s="1"/>
  <c r="A33" i="7"/>
  <c r="A44" i="7" s="1"/>
  <c r="A56" i="7"/>
  <c r="A41" i="7"/>
  <c r="B41" i="7" s="1"/>
  <c r="C41" i="7" s="1"/>
  <c r="E41" i="7" s="1"/>
  <c r="A40" i="7"/>
  <c r="B40" i="7" s="1"/>
  <c r="C40" i="7" s="1"/>
  <c r="C66" i="7" s="1"/>
  <c r="A36" i="7"/>
  <c r="B36" i="7" s="1"/>
  <c r="C36" i="7" s="1"/>
  <c r="C62" i="7" s="1"/>
  <c r="B30" i="7"/>
  <c r="B56" i="7" s="1"/>
  <c r="A34" i="7"/>
  <c r="B34" i="7" s="1"/>
  <c r="B60" i="7" s="1"/>
  <c r="A32" i="7"/>
  <c r="B32" i="7" s="1"/>
  <c r="B58" i="7" s="1"/>
  <c r="A31" i="7"/>
  <c r="B31" i="7" s="1"/>
  <c r="C31" i="7" s="1"/>
  <c r="C57" i="7" s="1"/>
  <c r="A39" i="7"/>
  <c r="A50" i="7" s="1"/>
  <c r="B50" i="7" s="1"/>
  <c r="A38" i="7"/>
  <c r="A49" i="7" s="1"/>
  <c r="D3" i="7"/>
  <c r="G3" i="7"/>
  <c r="B4" i="7"/>
  <c r="D4" i="7" s="1"/>
  <c r="B5" i="7"/>
  <c r="G5" i="7" s="1"/>
  <c r="B6" i="7"/>
  <c r="G6" i="7" s="1"/>
  <c r="B7" i="7"/>
  <c r="D7" i="7" s="1"/>
  <c r="B8" i="7"/>
  <c r="D8" i="7" s="1"/>
  <c r="G8" i="7"/>
  <c r="B9" i="7"/>
  <c r="D9" i="7" s="1"/>
  <c r="B10" i="7"/>
  <c r="D10" i="7" s="1"/>
  <c r="B11" i="7"/>
  <c r="D11" i="7" s="1"/>
  <c r="B12" i="7"/>
  <c r="D12" i="7" s="1"/>
  <c r="C16" i="7"/>
  <c r="D16" i="7" s="1"/>
  <c r="C17" i="7"/>
  <c r="D17" i="7" s="1"/>
  <c r="C18" i="7"/>
  <c r="D18" i="7" s="1"/>
  <c r="F18" i="7"/>
  <c r="C19" i="7"/>
  <c r="D19" i="7" s="1"/>
  <c r="F19" i="7"/>
  <c r="C20" i="7"/>
  <c r="D20" i="7" s="1"/>
  <c r="F20" i="7"/>
  <c r="C21" i="7"/>
  <c r="D21" i="7" s="1"/>
  <c r="C22" i="7"/>
  <c r="D22" i="7" s="1"/>
  <c r="F22" i="7"/>
  <c r="G22" i="7" s="1"/>
  <c r="C23" i="7"/>
  <c r="F23" i="7" s="1"/>
  <c r="G23" i="7" s="1"/>
  <c r="C24" i="7"/>
  <c r="D24" i="7" s="1"/>
  <c r="F24" i="7"/>
  <c r="G24" i="7" s="1"/>
  <c r="C25" i="7"/>
  <c r="D25" i="7" s="1"/>
  <c r="C26" i="7"/>
  <c r="D26" i="7" s="1"/>
  <c r="F26" i="6"/>
  <c r="I26" i="6" s="1"/>
  <c r="L26" i="6" s="1"/>
  <c r="F27" i="6"/>
  <c r="F28" i="6"/>
  <c r="F29" i="6"/>
  <c r="I29" i="6" s="1"/>
  <c r="L29" i="6" s="1"/>
  <c r="F30" i="6"/>
  <c r="I30" i="6" s="1"/>
  <c r="F31" i="6"/>
  <c r="F32" i="6"/>
  <c r="I32" i="6" s="1"/>
  <c r="L32" i="6" s="1"/>
  <c r="F33" i="6"/>
  <c r="I33" i="6" s="1"/>
  <c r="F34" i="6"/>
  <c r="F35" i="6"/>
  <c r="C26" i="6"/>
  <c r="E26" i="6" s="1"/>
  <c r="H26" i="6" s="1"/>
  <c r="C27" i="6"/>
  <c r="D27" i="6" s="1"/>
  <c r="G27" i="6" s="1"/>
  <c r="J27" i="6" s="1"/>
  <c r="C28" i="6"/>
  <c r="D28" i="6" s="1"/>
  <c r="C29" i="6"/>
  <c r="D29" i="6" s="1"/>
  <c r="C30" i="6"/>
  <c r="D30" i="6" s="1"/>
  <c r="C31" i="6"/>
  <c r="D31" i="6" s="1"/>
  <c r="C32" i="6"/>
  <c r="D32" i="6" s="1"/>
  <c r="C33" i="6"/>
  <c r="E33" i="6" s="1"/>
  <c r="H33" i="6" s="1"/>
  <c r="C34" i="6"/>
  <c r="E34" i="6" s="1"/>
  <c r="H34" i="6" s="1"/>
  <c r="C35" i="6"/>
  <c r="D35" i="6" s="1"/>
  <c r="G35" i="6" s="1"/>
  <c r="J35" i="6" s="1"/>
  <c r="R3" i="6"/>
  <c r="Q3" i="6"/>
  <c r="B4" i="6"/>
  <c r="M4" i="6" s="1"/>
  <c r="C4" i="6"/>
  <c r="N4" i="6" s="1"/>
  <c r="D4" i="6"/>
  <c r="O4" i="6" s="1"/>
  <c r="E4" i="6"/>
  <c r="P4" i="6" s="1"/>
  <c r="F4" i="6"/>
  <c r="Q4" i="6" s="1"/>
  <c r="G4" i="6"/>
  <c r="R4" i="6" s="1"/>
  <c r="B5" i="6"/>
  <c r="M5" i="6" s="1"/>
  <c r="C5" i="6"/>
  <c r="N5" i="6" s="1"/>
  <c r="D5" i="6"/>
  <c r="O5" i="6" s="1"/>
  <c r="E5" i="6"/>
  <c r="P5" i="6" s="1"/>
  <c r="F5" i="6"/>
  <c r="Q5" i="6" s="1"/>
  <c r="G5" i="6"/>
  <c r="R5" i="6" s="1"/>
  <c r="B6" i="6"/>
  <c r="M6" i="6" s="1"/>
  <c r="C6" i="6"/>
  <c r="N6" i="6" s="1"/>
  <c r="D6" i="6"/>
  <c r="O6" i="6" s="1"/>
  <c r="E6" i="6"/>
  <c r="P6" i="6" s="1"/>
  <c r="F6" i="6"/>
  <c r="Q6" i="6" s="1"/>
  <c r="G6" i="6"/>
  <c r="R6" i="6" s="1"/>
  <c r="B7" i="6"/>
  <c r="M7" i="6" s="1"/>
  <c r="C7" i="6"/>
  <c r="N7" i="6" s="1"/>
  <c r="D7" i="6"/>
  <c r="O7" i="6" s="1"/>
  <c r="E7" i="6"/>
  <c r="P7" i="6" s="1"/>
  <c r="F7" i="6"/>
  <c r="Q7" i="6" s="1"/>
  <c r="G7" i="6"/>
  <c r="R7" i="6" s="1"/>
  <c r="B8" i="6"/>
  <c r="M8" i="6" s="1"/>
  <c r="C8" i="6"/>
  <c r="N8" i="6" s="1"/>
  <c r="D8" i="6"/>
  <c r="O8" i="6" s="1"/>
  <c r="E8" i="6"/>
  <c r="P8" i="6" s="1"/>
  <c r="F8" i="6"/>
  <c r="Q8" i="6" s="1"/>
  <c r="G8" i="6"/>
  <c r="R8" i="6" s="1"/>
  <c r="B9" i="6"/>
  <c r="M9" i="6" s="1"/>
  <c r="C9" i="6"/>
  <c r="N9" i="6" s="1"/>
  <c r="D9" i="6"/>
  <c r="O9" i="6" s="1"/>
  <c r="E9" i="6"/>
  <c r="P9" i="6" s="1"/>
  <c r="F9" i="6"/>
  <c r="Q9" i="6" s="1"/>
  <c r="G9" i="6"/>
  <c r="R9" i="6" s="1"/>
  <c r="B10" i="6"/>
  <c r="M10" i="6" s="1"/>
  <c r="C10" i="6"/>
  <c r="N10" i="6" s="1"/>
  <c r="D10" i="6"/>
  <c r="O10" i="6" s="1"/>
  <c r="E10" i="6"/>
  <c r="P10" i="6" s="1"/>
  <c r="F10" i="6"/>
  <c r="Q10" i="6" s="1"/>
  <c r="G10" i="6"/>
  <c r="R10" i="6" s="1"/>
  <c r="B11" i="6"/>
  <c r="M11" i="6" s="1"/>
  <c r="C11" i="6"/>
  <c r="N11" i="6" s="1"/>
  <c r="D11" i="6"/>
  <c r="O11" i="6" s="1"/>
  <c r="E11" i="6"/>
  <c r="P11" i="6" s="1"/>
  <c r="F11" i="6"/>
  <c r="Q11" i="6" s="1"/>
  <c r="G11" i="6"/>
  <c r="R11" i="6" s="1"/>
  <c r="B12" i="6"/>
  <c r="M12" i="6" s="1"/>
  <c r="C12" i="6"/>
  <c r="N12" i="6" s="1"/>
  <c r="D12" i="6"/>
  <c r="O12" i="6" s="1"/>
  <c r="E12" i="6"/>
  <c r="P12" i="6" s="1"/>
  <c r="F12" i="6"/>
  <c r="Q12" i="6" s="1"/>
  <c r="G12" i="6"/>
  <c r="R12" i="6" s="1"/>
  <c r="B13" i="6"/>
  <c r="M13" i="6" s="1"/>
  <c r="C13" i="6"/>
  <c r="N13" i="6" s="1"/>
  <c r="D13" i="6"/>
  <c r="O13" i="6" s="1"/>
  <c r="E13" i="6"/>
  <c r="P13" i="6" s="1"/>
  <c r="F13" i="6"/>
  <c r="Q13" i="6" s="1"/>
  <c r="G13" i="6"/>
  <c r="R13" i="6" s="1"/>
  <c r="G3" i="6"/>
  <c r="F3" i="6"/>
  <c r="E3" i="6"/>
  <c r="P3" i="6" s="1"/>
  <c r="D3" i="6"/>
  <c r="O3" i="6" s="1"/>
  <c r="C3" i="6"/>
  <c r="N3" i="6" s="1"/>
  <c r="B3" i="6"/>
  <c r="M3" i="6" s="1"/>
  <c r="A21" i="6"/>
  <c r="A15" i="6"/>
  <c r="F15" i="6" s="1"/>
  <c r="Q15" i="6" s="1"/>
  <c r="A16" i="6"/>
  <c r="A17" i="6"/>
  <c r="A18" i="6"/>
  <c r="A19" i="6"/>
  <c r="A20" i="6"/>
  <c r="A14" i="6"/>
  <c r="E14" i="5"/>
  <c r="G14" i="5" s="1"/>
  <c r="E15" i="5"/>
  <c r="G15" i="5" s="1"/>
  <c r="E16" i="5"/>
  <c r="G16" i="5" s="1"/>
  <c r="E17" i="5"/>
  <c r="G17" i="5" s="1"/>
  <c r="E18" i="5"/>
  <c r="G18" i="5" s="1"/>
  <c r="E13" i="5"/>
  <c r="G13" i="5" s="1"/>
  <c r="E8" i="5"/>
  <c r="G8" i="5" s="1"/>
  <c r="E4" i="5"/>
  <c r="G4" i="5" s="1"/>
  <c r="E5" i="5"/>
  <c r="G5" i="5" s="1"/>
  <c r="E6" i="5"/>
  <c r="G6" i="5" s="1"/>
  <c r="E7" i="5"/>
  <c r="G7" i="5" s="1"/>
  <c r="E3" i="5"/>
  <c r="G3" i="5" s="1"/>
  <c r="F8" i="4"/>
  <c r="E8" i="4"/>
  <c r="F16" i="4"/>
  <c r="E16" i="4"/>
  <c r="E7" i="4"/>
  <c r="E4" i="4"/>
  <c r="F4" i="4"/>
  <c r="E5" i="4"/>
  <c r="F5" i="4"/>
  <c r="E6" i="4"/>
  <c r="F6" i="4"/>
  <c r="F7" i="4"/>
  <c r="F3" i="4"/>
  <c r="E3" i="4"/>
  <c r="F15" i="4"/>
  <c r="E15" i="4"/>
  <c r="F14" i="4"/>
  <c r="E14" i="4"/>
  <c r="F13" i="4"/>
  <c r="E13" i="4"/>
  <c r="F12" i="4"/>
  <c r="E12" i="4"/>
  <c r="F11" i="4"/>
  <c r="E11" i="4"/>
  <c r="E30" i="4"/>
  <c r="D30" i="4"/>
  <c r="E28" i="4"/>
  <c r="D28" i="4"/>
  <c r="E20" i="4"/>
  <c r="D20" i="4"/>
  <c r="E19" i="4"/>
  <c r="D19" i="4"/>
  <c r="E34" i="4"/>
  <c r="D34" i="4"/>
  <c r="E33" i="4"/>
  <c r="D33" i="4"/>
  <c r="E32" i="4"/>
  <c r="D32" i="4"/>
  <c r="E31" i="4"/>
  <c r="D31" i="4"/>
  <c r="E29" i="4"/>
  <c r="D29" i="4"/>
  <c r="D22" i="4"/>
  <c r="E22" i="4"/>
  <c r="D23" i="4"/>
  <c r="E23" i="4"/>
  <c r="D24" i="4"/>
  <c r="E24" i="4"/>
  <c r="D25" i="4"/>
  <c r="E25" i="4"/>
  <c r="E21" i="4"/>
  <c r="D21" i="4"/>
  <c r="I81" i="5" l="1"/>
  <c r="L83" i="5"/>
  <c r="D17" i="6"/>
  <c r="O17" i="6" s="1"/>
  <c r="I17" i="6"/>
  <c r="H17" i="6"/>
  <c r="J17" i="6"/>
  <c r="B16" i="6"/>
  <c r="M16" i="6" s="1"/>
  <c r="H16" i="6"/>
  <c r="I16" i="6"/>
  <c r="J16" i="6"/>
  <c r="H15" i="6"/>
  <c r="I15" i="6"/>
  <c r="J15" i="6"/>
  <c r="G21" i="6"/>
  <c r="R21" i="6" s="1"/>
  <c r="H21" i="6"/>
  <c r="I21" i="6"/>
  <c r="J21" i="6"/>
  <c r="D14" i="6"/>
  <c r="O14" i="6" s="1"/>
  <c r="J14" i="6"/>
  <c r="I14" i="6"/>
  <c r="H14" i="6"/>
  <c r="E35" i="6"/>
  <c r="H35" i="6" s="1"/>
  <c r="E27" i="6"/>
  <c r="H27" i="6" s="1"/>
  <c r="H20" i="6"/>
  <c r="J20" i="6"/>
  <c r="I20" i="6"/>
  <c r="F19" i="6"/>
  <c r="Q19" i="6" s="1"/>
  <c r="J19" i="6"/>
  <c r="H19" i="6"/>
  <c r="I19" i="6"/>
  <c r="H18" i="6"/>
  <c r="I18" i="6"/>
  <c r="J18" i="6"/>
  <c r="E28" i="6"/>
  <c r="H28" i="6" s="1"/>
  <c r="A52" i="7"/>
  <c r="B63" i="7"/>
  <c r="C67" i="7"/>
  <c r="B61" i="7"/>
  <c r="B57" i="7"/>
  <c r="B33" i="7"/>
  <c r="C33" i="7" s="1"/>
  <c r="A76" i="7"/>
  <c r="A57" i="7"/>
  <c r="E57" i="7" s="1"/>
  <c r="C63" i="7"/>
  <c r="D5" i="7"/>
  <c r="A66" i="7"/>
  <c r="E66" i="7" s="1"/>
  <c r="A65" i="7"/>
  <c r="C61" i="7"/>
  <c r="A64" i="7"/>
  <c r="K33" i="5"/>
  <c r="L100" i="5"/>
  <c r="J81" i="5"/>
  <c r="L81" i="5"/>
  <c r="I85" i="5"/>
  <c r="M47" i="5"/>
  <c r="I93" i="5"/>
  <c r="M55" i="5"/>
  <c r="I86" i="5"/>
  <c r="M48" i="5"/>
  <c r="I94" i="5"/>
  <c r="M56" i="5"/>
  <c r="I87" i="5"/>
  <c r="M49" i="5"/>
  <c r="I95" i="5"/>
  <c r="M57" i="5"/>
  <c r="I96" i="5"/>
  <c r="M58" i="5"/>
  <c r="I98" i="5"/>
  <c r="M60" i="5"/>
  <c r="I97" i="5"/>
  <c r="M59" i="5"/>
  <c r="I89" i="5"/>
  <c r="M51" i="5"/>
  <c r="I99" i="5"/>
  <c r="M61" i="5"/>
  <c r="I88" i="5"/>
  <c r="M50" i="5"/>
  <c r="I90" i="5"/>
  <c r="M52" i="5"/>
  <c r="I84" i="5"/>
  <c r="M46" i="5"/>
  <c r="I92" i="5"/>
  <c r="M54" i="5"/>
  <c r="I91" i="5"/>
  <c r="M53" i="5"/>
  <c r="K32" i="5"/>
  <c r="K36" i="5"/>
  <c r="K35" i="5"/>
  <c r="K37" i="5"/>
  <c r="K34" i="5"/>
  <c r="K38" i="5"/>
  <c r="A70" i="7"/>
  <c r="B44" i="7"/>
  <c r="C50" i="7"/>
  <c r="B76" i="7"/>
  <c r="A75" i="7"/>
  <c r="B49" i="7"/>
  <c r="A58" i="7"/>
  <c r="B67" i="7"/>
  <c r="A45" i="7"/>
  <c r="A67" i="7"/>
  <c r="E67" i="7" s="1"/>
  <c r="A63" i="7"/>
  <c r="E63" i="7" s="1"/>
  <c r="A59" i="7"/>
  <c r="A60" i="7"/>
  <c r="B66" i="7"/>
  <c r="B62" i="7"/>
  <c r="A61" i="7"/>
  <c r="E61" i="7" s="1"/>
  <c r="A51" i="7"/>
  <c r="A43" i="7"/>
  <c r="D6" i="7"/>
  <c r="A42" i="7"/>
  <c r="A68" i="7" s="1"/>
  <c r="A47" i="7"/>
  <c r="A48" i="7"/>
  <c r="C30" i="7"/>
  <c r="A46" i="7"/>
  <c r="E31" i="7"/>
  <c r="C34" i="7"/>
  <c r="C60" i="7" s="1"/>
  <c r="E36" i="7"/>
  <c r="E40" i="7"/>
  <c r="C32" i="7"/>
  <c r="C58" i="7" s="1"/>
  <c r="B39" i="7"/>
  <c r="B65" i="7" s="1"/>
  <c r="G11" i="7"/>
  <c r="D23" i="7"/>
  <c r="B38" i="7"/>
  <c r="B64" i="7" s="1"/>
  <c r="G10" i="7"/>
  <c r="C17" i="6"/>
  <c r="N17" i="6" s="1"/>
  <c r="B17" i="6"/>
  <c r="M17" i="6" s="1"/>
  <c r="E32" i="6"/>
  <c r="H32" i="6" s="1"/>
  <c r="L30" i="6"/>
  <c r="O30" i="6"/>
  <c r="C21" i="6"/>
  <c r="N21" i="6" s="1"/>
  <c r="E16" i="6"/>
  <c r="P16" i="6" s="1"/>
  <c r="E31" i="6"/>
  <c r="H31" i="6" s="1"/>
  <c r="D26" i="6"/>
  <c r="G26" i="6" s="1"/>
  <c r="J26" i="6" s="1"/>
  <c r="E21" i="6"/>
  <c r="P21" i="6" s="1"/>
  <c r="D21" i="6"/>
  <c r="O21" i="6" s="1"/>
  <c r="B21" i="6"/>
  <c r="M21" i="6" s="1"/>
  <c r="C16" i="6"/>
  <c r="N16" i="6" s="1"/>
  <c r="I34" i="6"/>
  <c r="L34" i="6" s="1"/>
  <c r="D34" i="6"/>
  <c r="G34" i="6" s="1"/>
  <c r="J34" i="6" s="1"/>
  <c r="I31" i="6"/>
  <c r="L31" i="6" s="1"/>
  <c r="G7" i="7"/>
  <c r="G12" i="7"/>
  <c r="G4" i="7"/>
  <c r="O26" i="6"/>
  <c r="E17" i="6"/>
  <c r="P17" i="6" s="1"/>
  <c r="F14" i="6"/>
  <c r="Q14" i="6" s="1"/>
  <c r="D33" i="6"/>
  <c r="G9" i="7"/>
  <c r="G17" i="6"/>
  <c r="R17" i="6" s="1"/>
  <c r="K32" i="6"/>
  <c r="G32" i="6"/>
  <c r="J32" i="6" s="1"/>
  <c r="G31" i="6"/>
  <c r="J31" i="6" s="1"/>
  <c r="G29" i="6"/>
  <c r="J29" i="6" s="1"/>
  <c r="G28" i="6"/>
  <c r="J28" i="6" s="1"/>
  <c r="L33" i="6"/>
  <c r="O33" i="6"/>
  <c r="G30" i="6"/>
  <c r="J30" i="6" s="1"/>
  <c r="N34" i="6"/>
  <c r="K34" i="6"/>
  <c r="N26" i="6"/>
  <c r="K26" i="6"/>
  <c r="K33" i="6"/>
  <c r="N33" i="6"/>
  <c r="O29" i="6"/>
  <c r="G20" i="6"/>
  <c r="R20" i="6" s="1"/>
  <c r="E19" i="6"/>
  <c r="P19" i="6" s="1"/>
  <c r="C18" i="6"/>
  <c r="N18" i="6" s="1"/>
  <c r="G16" i="6"/>
  <c r="R16" i="6" s="1"/>
  <c r="E15" i="6"/>
  <c r="P15" i="6" s="1"/>
  <c r="C14" i="6"/>
  <c r="N14" i="6" s="1"/>
  <c r="E29" i="6"/>
  <c r="H29" i="6" s="1"/>
  <c r="K31" i="6"/>
  <c r="I28" i="6"/>
  <c r="L28" i="6" s="1"/>
  <c r="F20" i="6"/>
  <c r="D19" i="6"/>
  <c r="O19" i="6" s="1"/>
  <c r="B18" i="6"/>
  <c r="M18" i="6" s="1"/>
  <c r="F16" i="6"/>
  <c r="Q16" i="6" s="1"/>
  <c r="D15" i="6"/>
  <c r="B14" i="6"/>
  <c r="M14" i="6" s="1"/>
  <c r="Q20" i="6"/>
  <c r="O15" i="6"/>
  <c r="M35" i="6"/>
  <c r="M27" i="6"/>
  <c r="E20" i="6"/>
  <c r="P20" i="6" s="1"/>
  <c r="N32" i="6"/>
  <c r="D18" i="6"/>
  <c r="O18" i="6" s="1"/>
  <c r="C19" i="6"/>
  <c r="N19" i="6" s="1"/>
  <c r="C15" i="6"/>
  <c r="N15" i="6" s="1"/>
  <c r="F21" i="6"/>
  <c r="Q21" i="6" s="1"/>
  <c r="D20" i="6"/>
  <c r="O20" i="6" s="1"/>
  <c r="B19" i="6"/>
  <c r="M19" i="6" s="1"/>
  <c r="F17" i="6"/>
  <c r="Q17" i="6" s="1"/>
  <c r="D16" i="6"/>
  <c r="O16" i="6" s="1"/>
  <c r="B15" i="6"/>
  <c r="M15" i="6" s="1"/>
  <c r="I35" i="6"/>
  <c r="L35" i="6" s="1"/>
  <c r="G33" i="6"/>
  <c r="J33" i="6" s="1"/>
  <c r="I27" i="6"/>
  <c r="L27" i="6" s="1"/>
  <c r="C20" i="6"/>
  <c r="N20" i="6" s="1"/>
  <c r="G18" i="6"/>
  <c r="R18" i="6" s="1"/>
  <c r="G14" i="6"/>
  <c r="R14" i="6" s="1"/>
  <c r="K35" i="6"/>
  <c r="K27" i="6"/>
  <c r="B20" i="6"/>
  <c r="M20" i="6" s="1"/>
  <c r="F18" i="6"/>
  <c r="Q18" i="6" s="1"/>
  <c r="E30" i="6"/>
  <c r="H30" i="6" s="1"/>
  <c r="G19" i="6"/>
  <c r="R19" i="6" s="1"/>
  <c r="E18" i="6"/>
  <c r="P18" i="6" s="1"/>
  <c r="G15" i="6"/>
  <c r="R15" i="6" s="1"/>
  <c r="E14" i="6"/>
  <c r="P14" i="6" s="1"/>
  <c r="F4" i="3"/>
  <c r="F5" i="3"/>
  <c r="F3" i="3"/>
  <c r="C4" i="3"/>
  <c r="C5" i="3"/>
  <c r="C6" i="3"/>
  <c r="C7" i="3"/>
  <c r="C8" i="3"/>
  <c r="C9" i="3"/>
  <c r="C10" i="3"/>
  <c r="C11" i="3"/>
  <c r="C12" i="3"/>
  <c r="C3" i="3"/>
  <c r="E5" i="3"/>
  <c r="E4" i="3"/>
  <c r="E3" i="3"/>
  <c r="B4" i="3"/>
  <c r="B5" i="3"/>
  <c r="B6" i="3"/>
  <c r="B7" i="3"/>
  <c r="B8" i="3"/>
  <c r="B9" i="3"/>
  <c r="B10" i="3"/>
  <c r="B11" i="3"/>
  <c r="B12" i="3"/>
  <c r="B3" i="3"/>
  <c r="M30" i="6" l="1"/>
  <c r="E58" i="7"/>
  <c r="E60" i="7"/>
  <c r="E64" i="7"/>
  <c r="E33" i="7"/>
  <c r="C59" i="7"/>
  <c r="E59" i="7"/>
  <c r="E50" i="7"/>
  <c r="C76" i="7"/>
  <c r="E76" i="7" s="1"/>
  <c r="B59" i="7"/>
  <c r="A78" i="7"/>
  <c r="B52" i="7"/>
  <c r="J99" i="5"/>
  <c r="L99" i="5"/>
  <c r="J86" i="5"/>
  <c r="L86" i="5"/>
  <c r="J92" i="5"/>
  <c r="L92" i="5"/>
  <c r="J96" i="5"/>
  <c r="L96" i="5"/>
  <c r="J89" i="5"/>
  <c r="L89" i="5"/>
  <c r="J95" i="5"/>
  <c r="L95" i="5"/>
  <c r="J93" i="5"/>
  <c r="L93" i="5"/>
  <c r="J90" i="5"/>
  <c r="L90" i="5"/>
  <c r="J97" i="5"/>
  <c r="L97" i="5"/>
  <c r="J85" i="5"/>
  <c r="L85" i="5"/>
  <c r="J84" i="5"/>
  <c r="L84" i="5"/>
  <c r="J87" i="5"/>
  <c r="L87" i="5"/>
  <c r="J91" i="5"/>
  <c r="L91" i="5"/>
  <c r="J88" i="5"/>
  <c r="L88" i="5"/>
  <c r="J98" i="5"/>
  <c r="L98" i="5"/>
  <c r="J94" i="5"/>
  <c r="L94" i="5"/>
  <c r="B48" i="7"/>
  <c r="A74" i="7"/>
  <c r="A73" i="7"/>
  <c r="B47" i="7"/>
  <c r="B75" i="7"/>
  <c r="C49" i="7"/>
  <c r="A69" i="7"/>
  <c r="B43" i="7"/>
  <c r="A77" i="7"/>
  <c r="B51" i="7"/>
  <c r="A71" i="7"/>
  <c r="B45" i="7"/>
  <c r="B42" i="7"/>
  <c r="B68" i="7" s="1"/>
  <c r="A72" i="7"/>
  <c r="B46" i="7"/>
  <c r="B70" i="7"/>
  <c r="C44" i="7"/>
  <c r="C38" i="7"/>
  <c r="C64" i="7" s="1"/>
  <c r="E34" i="7"/>
  <c r="C39" i="7"/>
  <c r="C65" i="7" s="1"/>
  <c r="E65" i="7" s="1"/>
  <c r="C56" i="7"/>
  <c r="E56" i="7" s="1"/>
  <c r="E30" i="7"/>
  <c r="E32" i="7"/>
  <c r="O31" i="6"/>
  <c r="M32" i="6"/>
  <c r="O34" i="6"/>
  <c r="O35" i="6"/>
  <c r="K30" i="6"/>
  <c r="M29" i="6"/>
  <c r="M33" i="6"/>
  <c r="M28" i="6"/>
  <c r="M26" i="6"/>
  <c r="N28" i="6"/>
  <c r="K28" i="6"/>
  <c r="O27" i="6"/>
  <c r="N31" i="6"/>
  <c r="M31" i="6"/>
  <c r="N27" i="6"/>
  <c r="K29" i="6"/>
  <c r="N35" i="6"/>
  <c r="M34" i="6"/>
  <c r="B78" i="7" l="1"/>
  <c r="C52" i="7"/>
  <c r="E49" i="7"/>
  <c r="C75" i="7"/>
  <c r="E75" i="7" s="1"/>
  <c r="E44" i="7"/>
  <c r="C70" i="7"/>
  <c r="E70" i="7" s="1"/>
  <c r="C46" i="7"/>
  <c r="C72" i="7" s="1"/>
  <c r="E72" i="7" s="1"/>
  <c r="B72" i="7"/>
  <c r="C45" i="7"/>
  <c r="B71" i="7"/>
  <c r="C47" i="7"/>
  <c r="C73" i="7" s="1"/>
  <c r="E73" i="7" s="1"/>
  <c r="B73" i="7"/>
  <c r="C42" i="7"/>
  <c r="C68" i="7" s="1"/>
  <c r="E68" i="7" s="1"/>
  <c r="C51" i="7"/>
  <c r="B77" i="7"/>
  <c r="C48" i="7"/>
  <c r="C74" i="7" s="1"/>
  <c r="E74" i="7" s="1"/>
  <c r="B74" i="7"/>
  <c r="C43" i="7"/>
  <c r="B69" i="7"/>
  <c r="E38" i="7"/>
  <c r="E39" i="7"/>
  <c r="N30" i="6"/>
  <c r="N29" i="6"/>
  <c r="E45" i="7" l="1"/>
  <c r="C71" i="7"/>
  <c r="E71" i="7" s="1"/>
  <c r="E42" i="7"/>
  <c r="E51" i="7"/>
  <c r="C77" i="7"/>
  <c r="E77" i="7" s="1"/>
  <c r="E52" i="7"/>
  <c r="C78" i="7"/>
  <c r="E78" i="7" s="1"/>
  <c r="E43" i="7"/>
  <c r="C69" i="7"/>
  <c r="E69" i="7" s="1"/>
  <c r="E47" i="7"/>
  <c r="E48" i="7"/>
  <c r="E4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Thomas</author>
  </authors>
  <commentList>
    <comment ref="G4" authorId="0" shapeId="0" xr:uid="{109AD7D6-757B-431B-93B1-B4DF2B268A26}">
      <text>
        <r>
          <rPr>
            <b/>
            <sz val="9"/>
            <color indexed="81"/>
            <rFont val="Tahoma"/>
            <charset val="1"/>
          </rPr>
          <t>Eccentricity</t>
        </r>
      </text>
    </comment>
    <comment ref="H6" authorId="0" shapeId="0" xr:uid="{2934D751-90AA-4A61-906E-1A0C57B3CFC6}">
      <text>
        <r>
          <rPr>
            <b/>
            <sz val="9"/>
            <color indexed="81"/>
            <rFont val="Tahoma"/>
            <family val="2"/>
          </rPr>
          <t>L Focus</t>
        </r>
      </text>
    </comment>
    <comment ref="J6" authorId="0" shapeId="0" xr:uid="{3E83AD3C-28DA-4CC1-96BD-1FD366BDB9CC}">
      <text>
        <r>
          <rPr>
            <b/>
            <sz val="9"/>
            <color indexed="81"/>
            <rFont val="Tahoma"/>
            <family val="2"/>
          </rPr>
          <t>L focus</t>
        </r>
      </text>
    </comment>
    <comment ref="K6" authorId="0" shapeId="0" xr:uid="{F285D121-DD6B-4BA8-98A7-4A6DAB09D131}">
      <text>
        <r>
          <rPr>
            <b/>
            <sz val="9"/>
            <color indexed="81"/>
            <rFont val="Tahoma"/>
            <family val="2"/>
          </rPr>
          <t>R focus</t>
        </r>
      </text>
    </comment>
    <comment ref="J8" authorId="0" shapeId="0" xr:uid="{F5B5D8D4-544A-4766-A4D0-8E24585E3A95}">
      <text>
        <r>
          <rPr>
            <b/>
            <sz val="9"/>
            <color indexed="81"/>
            <rFont val="Tahoma"/>
            <family val="2"/>
          </rPr>
          <t>R branch, R focus</t>
        </r>
      </text>
    </comment>
    <comment ref="K8" authorId="0" shapeId="0" xr:uid="{027BE1F8-114C-4F40-979B-2806B7344E34}">
      <text>
        <r>
          <rPr>
            <b/>
            <sz val="9"/>
            <color indexed="81"/>
            <rFont val="Tahoma"/>
            <family val="2"/>
          </rPr>
          <t>R branch, R focus</t>
        </r>
      </text>
    </comment>
    <comment ref="C13" authorId="0" shapeId="0" xr:uid="{6DF13966-9666-4917-8246-E21FA0556A94}">
      <text>
        <r>
          <rPr>
            <b/>
            <sz val="9"/>
            <color indexed="81"/>
            <rFont val="Tahoma"/>
            <family val="2"/>
          </rPr>
          <t>Angle of line passing through major vertex and local origin</t>
        </r>
      </text>
    </comment>
    <comment ref="I14" authorId="0" shapeId="0" xr:uid="{C69BF862-534D-4E70-AE8C-21291C5EA8BF}">
      <text>
        <r>
          <rPr>
            <b/>
            <sz val="9"/>
            <color indexed="81"/>
            <rFont val="Tahoma"/>
            <charset val="1"/>
          </rPr>
          <t>Eccentricity</t>
        </r>
      </text>
    </comment>
    <comment ref="C30" authorId="0" shapeId="0" xr:uid="{E81D156F-1E93-4ED2-90B1-9344A99E72C2}">
      <text>
        <r>
          <rPr>
            <b/>
            <sz val="9"/>
            <color indexed="81"/>
            <rFont val="Tahoma"/>
            <family val="2"/>
          </rPr>
          <t>Angle of line passing through major vertex and local origin</t>
        </r>
      </text>
    </comment>
    <comment ref="I31" authorId="0" shapeId="0" xr:uid="{57445046-3BCF-4408-A4B2-C1115D144D63}">
      <text>
        <r>
          <rPr>
            <b/>
            <sz val="9"/>
            <color indexed="81"/>
            <rFont val="Tahoma"/>
            <charset val="1"/>
          </rPr>
          <t>Eccentricity</t>
        </r>
      </text>
    </comment>
    <comment ref="C47" authorId="0" shapeId="0" xr:uid="{6350FD7F-0168-4F82-B68F-B8F3A0E95666}">
      <text>
        <r>
          <rPr>
            <b/>
            <sz val="9"/>
            <color indexed="81"/>
            <rFont val="Tahoma"/>
            <family val="2"/>
          </rPr>
          <t>Angle of line passing through major vertex and local origin</t>
        </r>
      </text>
    </comment>
    <comment ref="I48" authorId="0" shapeId="0" xr:uid="{10FDA479-BDD2-4141-90A4-795588B3BB8E}">
      <text>
        <r>
          <rPr>
            <b/>
            <sz val="9"/>
            <color indexed="81"/>
            <rFont val="Tahoma"/>
            <charset val="1"/>
          </rPr>
          <t>Eccentricity</t>
        </r>
      </text>
    </comment>
    <comment ref="C64" authorId="0" shapeId="0" xr:uid="{20916452-EFE7-4A62-8F0F-B4071204A69B}">
      <text>
        <r>
          <rPr>
            <b/>
            <sz val="9"/>
            <color indexed="81"/>
            <rFont val="Tahoma"/>
            <family val="2"/>
          </rPr>
          <t>Angle of line passing through major vertex and local origin</t>
        </r>
      </text>
    </comment>
    <comment ref="I65" authorId="0" shapeId="0" xr:uid="{21BF80E0-FE9F-450B-B910-A5792C379D5A}">
      <text>
        <r>
          <rPr>
            <b/>
            <sz val="9"/>
            <color indexed="81"/>
            <rFont val="Tahoma"/>
            <charset val="1"/>
          </rPr>
          <t>Eccentricity</t>
        </r>
      </text>
    </comment>
  </commentList>
</comments>
</file>

<file path=xl/sharedStrings.xml><?xml version="1.0" encoding="utf-8"?>
<sst xmlns="http://schemas.openxmlformats.org/spreadsheetml/2006/main" count="1450" uniqueCount="546">
  <si>
    <t>Cube Root</t>
  </si>
  <si>
    <t>integer</t>
  </si>
  <si>
    <t>double</t>
  </si>
  <si>
    <t>result</t>
  </si>
  <si>
    <t>TestCase</t>
  </si>
  <si>
    <t>Add</t>
  </si>
  <si>
    <t>Subtract</t>
  </si>
  <si>
    <t>Multiply</t>
  </si>
  <si>
    <t>Divide</t>
  </si>
  <si>
    <t>X</t>
  </si>
  <si>
    <t>Y</t>
  </si>
  <si>
    <t>factor</t>
  </si>
  <si>
    <t>newX</t>
  </si>
  <si>
    <t>newY</t>
  </si>
  <si>
    <t>X2</t>
  </si>
  <si>
    <t>Y1</t>
  </si>
  <si>
    <t>X1</t>
  </si>
  <si>
    <t>Y2</t>
  </si>
  <si>
    <t>Dot Product</t>
  </si>
  <si>
    <t>Result</t>
  </si>
  <si>
    <t>Cross Product</t>
  </si>
  <si>
    <t>Angle</t>
  </si>
  <si>
    <t>x</t>
  </si>
  <si>
    <t>y</t>
  </si>
  <si>
    <t>quad 1</t>
  </si>
  <si>
    <t>quad 2</t>
  </si>
  <si>
    <t>quad 3</t>
  </si>
  <si>
    <t>quad 4</t>
  </si>
  <si>
    <t>Dot Product 3D</t>
  </si>
  <si>
    <t>Cross Product 3D</t>
  </si>
  <si>
    <t>Z1</t>
  </si>
  <si>
    <t>Z2</t>
  </si>
  <si>
    <t>Degrees</t>
  </si>
  <si>
    <t>Radians</t>
  </si>
  <si>
    <t>DegreesToRadians</t>
  </si>
  <si>
    <t>RadiansToDegrees</t>
  </si>
  <si>
    <t>Angle/Ratio Methods (Sin, Cos, Tan, etc.)</t>
  </si>
  <si>
    <t>Sin</t>
  </si>
  <si>
    <t>Cos</t>
  </si>
  <si>
    <t>Tan</t>
  </si>
  <si>
    <t>Csc</t>
  </si>
  <si>
    <t>Sec</t>
  </si>
  <si>
    <t>Cot</t>
  </si>
  <si>
    <t>Angle (deg)</t>
  </si>
  <si>
    <t>NegativeInfinity</t>
  </si>
  <si>
    <t>PositiveInfinity</t>
  </si>
  <si>
    <t>Solving for Angles</t>
  </si>
  <si>
    <t>Asin</t>
  </si>
  <si>
    <t>Acos</t>
  </si>
  <si>
    <t>Atan</t>
  </si>
  <si>
    <t>h</t>
  </si>
  <si>
    <t>Ratio</t>
  </si>
  <si>
    <t>Cases</t>
  </si>
  <si>
    <t>WrapAngleWithinTwoPi</t>
  </si>
  <si>
    <t>Revolutions</t>
  </si>
  <si>
    <t>WrapAngleWithinPositiveNegativePi</t>
  </si>
  <si>
    <t>xResult</t>
  </si>
  <si>
    <t>yResult</t>
  </si>
  <si>
    <t>zResult</t>
  </si>
  <si>
    <t>ToCartesianCoordinate</t>
  </si>
  <si>
    <t>Xi</t>
  </si>
  <si>
    <t>Yi</t>
  </si>
  <si>
    <t>Xj</t>
  </si>
  <si>
    <t>Yj</t>
  </si>
  <si>
    <t>X'</t>
  </si>
  <si>
    <t>Y'</t>
  </si>
  <si>
    <t>Length</t>
  </si>
  <si>
    <t>Factor</t>
  </si>
  <si>
    <t>Xi'</t>
  </si>
  <si>
    <t>Yi'</t>
  </si>
  <si>
    <t>Xj'</t>
  </si>
  <si>
    <t>Yj'</t>
  </si>
  <si>
    <t>Offset 1</t>
  </si>
  <si>
    <t>Offset 2</t>
  </si>
  <si>
    <t>Offset Result</t>
  </si>
  <si>
    <t>Both Quadrant1</t>
  </si>
  <si>
    <t>Both Quadrant2</t>
  </si>
  <si>
    <t>Both Quadrant3</t>
  </si>
  <si>
    <t>Both Quadrant4</t>
  </si>
  <si>
    <t>One Quadrant2</t>
  </si>
  <si>
    <t>One Quadrant4</t>
  </si>
  <si>
    <t>Differing Slope Directions</t>
  </si>
  <si>
    <t>Vertical</t>
  </si>
  <si>
    <t>Subtract (P-offset)</t>
  </si>
  <si>
    <t>Point</t>
  </si>
  <si>
    <t xml:space="preserve">Offset </t>
  </si>
  <si>
    <t>Point Result</t>
  </si>
  <si>
    <t>Subtract (offset-P)</t>
  </si>
  <si>
    <t>One Quadrant1, One Quadrant 3</t>
  </si>
  <si>
    <t>Add (P+offset, offset+P)</t>
  </si>
  <si>
    <t>MagnitudeSquared</t>
  </si>
  <si>
    <t>magnitudeX</t>
  </si>
  <si>
    <t>magnitudeY</t>
  </si>
  <si>
    <t>Magnitude</t>
  </si>
  <si>
    <t>Area</t>
  </si>
  <si>
    <t>magnitudeX1</t>
  </si>
  <si>
    <t>magnitudeX2</t>
  </si>
  <si>
    <t>magnitudeY1</t>
  </si>
  <si>
    <t>magnitudeY2</t>
  </si>
  <si>
    <t>ConcavityCollinearity</t>
  </si>
  <si>
    <t>DotProduct</t>
  </si>
  <si>
    <t>Magnitude1</t>
  </si>
  <si>
    <t>Magnitude2</t>
  </si>
  <si>
    <t>Pointing Same Way</t>
  </si>
  <si>
    <t>Concave</t>
  </si>
  <si>
    <t>Orthogonal</t>
  </si>
  <si>
    <t>Convex</t>
  </si>
  <si>
    <t>Pointing Opposite Way</t>
  </si>
  <si>
    <t>Expected</t>
  </si>
  <si>
    <t>&gt;0</t>
  </si>
  <si>
    <t>&lt;0</t>
  </si>
  <si>
    <t>Sloped</t>
  </si>
  <si>
    <t>Quad1</t>
  </si>
  <si>
    <t>Quad2</t>
  </si>
  <si>
    <t>Quad3</t>
  </si>
  <si>
    <t>Quad4</t>
  </si>
  <si>
    <t>Rotated 45 deg</t>
  </si>
  <si>
    <t>Mirrored Axis</t>
  </si>
  <si>
    <t>IsConcaveInside/IsConvexInside</t>
  </si>
  <si>
    <t>IsConcaveInside</t>
  </si>
  <si>
    <t>IsConvexInside</t>
  </si>
  <si>
    <t>Quadrant 1</t>
  </si>
  <si>
    <t>Quadrant 2</t>
  </si>
  <si>
    <t>Quadrant 4</t>
  </si>
  <si>
    <t>Quadrant 3</t>
  </si>
  <si>
    <t>x1</t>
  </si>
  <si>
    <t>y1</t>
  </si>
  <si>
    <t>x2</t>
  </si>
  <si>
    <t>y2</t>
  </si>
  <si>
    <t>Tangent</t>
  </si>
  <si>
    <t>Normal</t>
  </si>
  <si>
    <t>Tangent/Normal Vector</t>
  </si>
  <si>
    <t>deg line</t>
  </si>
  <si>
    <t>deg tangent</t>
  </si>
  <si>
    <t>deg normal</t>
  </si>
  <si>
    <t>NormalizeVector</t>
  </si>
  <si>
    <t>expectedMagnitudeX2</t>
  </si>
  <si>
    <t>expectedMagnitudeY2</t>
  </si>
  <si>
    <t>GetDirectionVector</t>
  </si>
  <si>
    <t>AngleRadians</t>
  </si>
  <si>
    <t>RotateVector</t>
  </si>
  <si>
    <t>Xcomponent</t>
  </si>
  <si>
    <t>Ycomponent</t>
  </si>
  <si>
    <t>Rotation(Radians)</t>
  </si>
  <si>
    <t>ResultX</t>
  </si>
  <si>
    <t>ResultY</t>
  </si>
  <si>
    <t>AngleRadians1</t>
  </si>
  <si>
    <t>AngleRadians2</t>
  </si>
  <si>
    <t>deltaAngle</t>
  </si>
  <si>
    <t>radius</t>
  </si>
  <si>
    <t>Arc Length</t>
  </si>
  <si>
    <t>LengthChord/Arc</t>
  </si>
  <si>
    <t>QuadraticFormula</t>
  </si>
  <si>
    <t>a</t>
  </si>
  <si>
    <t>b</t>
  </si>
  <si>
    <t>c</t>
  </si>
  <si>
    <t>result1</t>
  </si>
  <si>
    <t>result2</t>
  </si>
  <si>
    <t>a = 0</t>
  </si>
  <si>
    <t>operad2Sqrt = -3&lt; 0</t>
  </si>
  <si>
    <t>CubicCurveLowestRoot</t>
  </si>
  <si>
    <t>d</t>
  </si>
  <si>
    <t>A</t>
  </si>
  <si>
    <t>B</t>
  </si>
  <si>
    <t>s</t>
  </si>
  <si>
    <t>t</t>
  </si>
  <si>
    <t>tSqrt</t>
  </si>
  <si>
    <t>CubicCurveRoots</t>
  </si>
  <si>
    <t>D &gt; 0</t>
  </si>
  <si>
    <t>a2</t>
  </si>
  <si>
    <t>a1</t>
  </si>
  <si>
    <t>a0</t>
  </si>
  <si>
    <t>Q</t>
  </si>
  <si>
    <t>R</t>
  </si>
  <si>
    <t>D</t>
  </si>
  <si>
    <t>theta</t>
  </si>
  <si>
    <t>x3</t>
  </si>
  <si>
    <t>S</t>
  </si>
  <si>
    <t>T</t>
  </si>
  <si>
    <t>Rotate</t>
  </si>
  <si>
    <t>RotateAboutPoint</t>
  </si>
  <si>
    <t>Xcenter</t>
  </si>
  <si>
    <t>Ycenter</t>
  </si>
  <si>
    <t>SubtractAngleAzimuthRadians_Returns_Difference_Between_Angles</t>
  </si>
  <si>
    <t>angle 1</t>
  </si>
  <si>
    <t>angle 2</t>
  </si>
  <si>
    <t>AddAngleAzimuthDegrees_Returns_Combined_Angles</t>
  </si>
  <si>
    <t>SubtractOverride_Subtracting_Coordinate_Returns_Coordinate_Offset_Between_Coordinates</t>
  </si>
  <si>
    <t>angle</t>
  </si>
  <si>
    <t>radiusI2</t>
  </si>
  <si>
    <t>angleI2</t>
  </si>
  <si>
    <t>radiusJ2</t>
  </si>
  <si>
    <t>angleJ2</t>
  </si>
  <si>
    <t>radiusResult</t>
  </si>
  <si>
    <t>angleResult</t>
  </si>
  <si>
    <t>offset-coordinate</t>
  </si>
  <si>
    <t>coordinate-offset</t>
  </si>
  <si>
    <t>offset+coordinate</t>
  </si>
  <si>
    <t>coordinate+offset</t>
  </si>
  <si>
    <t>Length_Returns_Linear_Distance_Between_Offset_Points</t>
  </si>
  <si>
    <t>radiusI</t>
  </si>
  <si>
    <t>angleI</t>
  </si>
  <si>
    <t>radiusJ</t>
  </si>
  <si>
    <t>angleJ</t>
  </si>
  <si>
    <t>distance</t>
  </si>
  <si>
    <t>InterpolationLinear2D</t>
  </si>
  <si>
    <t>Wii</t>
  </si>
  <si>
    <t>Wij</t>
  </si>
  <si>
    <t>Wji</t>
  </si>
  <si>
    <t>Wjj</t>
  </si>
  <si>
    <t>row i</t>
  </si>
  <si>
    <t>row j</t>
  </si>
  <si>
    <t>col i</t>
  </si>
  <si>
    <t>col j</t>
  </si>
  <si>
    <t>value ii</t>
  </si>
  <si>
    <t>value jj</t>
  </si>
  <si>
    <t>value ij</t>
  </si>
  <si>
    <t>value ji</t>
  </si>
  <si>
    <t>col 0</t>
  </si>
  <si>
    <t>row 0</t>
  </si>
  <si>
    <t>All Corners have same value</t>
  </si>
  <si>
    <t>Top Edge</t>
  </si>
  <si>
    <t>Left Edge</t>
  </si>
  <si>
    <t>Right Edge</t>
  </si>
  <si>
    <t>Pt ii</t>
  </si>
  <si>
    <t>Pt jj</t>
  </si>
  <si>
    <t>Pt ij</t>
  </si>
  <si>
    <t>Pt ji</t>
  </si>
  <si>
    <t>Center of plane sloped along rows</t>
  </si>
  <si>
    <t>Center of plane sloped along columns</t>
  </si>
  <si>
    <t>All corners have different value, point not centered</t>
  </si>
  <si>
    <t>Bottom Edge</t>
  </si>
  <si>
    <t>Width of 0</t>
  </si>
  <si>
    <t>Heigh of 0</t>
  </si>
  <si>
    <t>IntersectionX</t>
  </si>
  <si>
    <t>vertical line</t>
  </si>
  <si>
    <t>within points</t>
  </si>
  <si>
    <t>outside of points</t>
  </si>
  <si>
    <t>points are equal</t>
  </si>
  <si>
    <t>negative slope</t>
  </si>
  <si>
    <t>parallel</t>
  </si>
  <si>
    <t>collinear</t>
  </si>
  <si>
    <t>Theta</t>
  </si>
  <si>
    <t>p</t>
  </si>
  <si>
    <t>L</t>
  </si>
  <si>
    <t>xe</t>
  </si>
  <si>
    <t>e</t>
  </si>
  <si>
    <t>Circle</t>
  </si>
  <si>
    <t>Ellipse</t>
  </si>
  <si>
    <t>Parabola</t>
  </si>
  <si>
    <t>Hyperbola</t>
  </si>
  <si>
    <t>r = a</t>
  </si>
  <si>
    <t>+r = a-c</t>
  </si>
  <si>
    <t>+r = c-a</t>
  </si>
  <si>
    <t>r_right</t>
  </si>
  <si>
    <t>r_left</t>
  </si>
  <si>
    <t>Focus</t>
  </si>
  <si>
    <r>
      <t>θ</t>
    </r>
    <r>
      <rPr>
        <vertAlign val="subscript"/>
        <sz val="11"/>
        <color theme="1"/>
        <rFont val="Calibri"/>
        <family val="2"/>
      </rPr>
      <t>1</t>
    </r>
  </si>
  <si>
    <t>Δθ</t>
  </si>
  <si>
    <r>
      <t>r</t>
    </r>
    <r>
      <rPr>
        <vertAlign val="subscript"/>
        <sz val="11"/>
        <color theme="1"/>
        <rFont val="Calibri"/>
        <family val="2"/>
      </rPr>
      <t>1</t>
    </r>
  </si>
  <si>
    <t>Δr</t>
  </si>
  <si>
    <r>
      <t>θ</t>
    </r>
    <r>
      <rPr>
        <vertAlign val="subscript"/>
        <sz val="11"/>
        <color theme="1"/>
        <rFont val="Calibri"/>
        <family val="2"/>
      </rPr>
      <t>2</t>
    </r>
  </si>
  <si>
    <r>
      <t>r</t>
    </r>
    <r>
      <rPr>
        <vertAlign val="subscript"/>
        <sz val="11"/>
        <color theme="1"/>
        <rFont val="Calibri"/>
        <family val="2"/>
      </rPr>
      <t>2</t>
    </r>
  </si>
  <si>
    <t>Bezier Handles</t>
  </si>
  <si>
    <t>Handle 1</t>
  </si>
  <si>
    <t>Handle 2</t>
  </si>
  <si>
    <t>Pt.</t>
  </si>
  <si>
    <t>m</t>
  </si>
  <si>
    <t>θ</t>
  </si>
  <si>
    <t>1i</t>
  </si>
  <si>
    <t>2i</t>
  </si>
  <si>
    <t>1j</t>
  </si>
  <si>
    <t>2j</t>
  </si>
  <si>
    <t>Delta</t>
  </si>
  <si>
    <t>Order</t>
  </si>
  <si>
    <t>Intercept</t>
  </si>
  <si>
    <t>Slope Designator. Length determines weight towards corner</t>
  </si>
  <si>
    <t>Bezier Bounds</t>
  </si>
  <si>
    <t>Handle Pt o</t>
  </si>
  <si>
    <t>Handle Pt i</t>
  </si>
  <si>
    <t>Handle Pt j</t>
  </si>
  <si>
    <t>Handle 1 slope</t>
  </si>
  <si>
    <t>Handle 2 slope</t>
  </si>
  <si>
    <t>Handle 1 radius</t>
  </si>
  <si>
    <t>Handle 2 radius</t>
  </si>
  <si>
    <t>Increment for handle slope controls</t>
  </si>
  <si>
    <t>Increment for handle radius controls</t>
  </si>
  <si>
    <t>SinH</t>
  </si>
  <si>
    <t>CosH</t>
  </si>
  <si>
    <t>TanH</t>
  </si>
  <si>
    <t>Conversions</t>
  </si>
  <si>
    <t>degrees</t>
  </si>
  <si>
    <t>Distance &amp; Angle</t>
  </si>
  <si>
    <t>Radius</t>
  </si>
  <si>
    <t>Angle (Degrees)</t>
  </si>
  <si>
    <t>OffsetCoordinate</t>
  </si>
  <si>
    <t>Distance</t>
  </si>
  <si>
    <t>Rotation (Degrees)</t>
  </si>
  <si>
    <t>Xoffset</t>
  </si>
  <si>
    <t>Yoffset</t>
  </si>
  <si>
    <t>Notes</t>
  </si>
  <si>
    <t>No offset</t>
  </si>
  <si>
    <t>Rotation of coordinate about itself</t>
  </si>
  <si>
    <t>Linear offset with default rotation</t>
  </si>
  <si>
    <t>Negative linear offset with default rotation</t>
  </si>
  <si>
    <t>Negative Rotation of coordinate about itself</t>
  </si>
  <si>
    <t>Magnitude 3D</t>
  </si>
  <si>
    <t>z1</t>
  </si>
  <si>
    <t>z2</t>
  </si>
  <si>
    <t>Unit  Vector</t>
  </si>
  <si>
    <t>Unit Tangent Vector</t>
  </si>
  <si>
    <t>Unit Normal Vector</t>
  </si>
  <si>
    <t>magnitude</t>
  </si>
  <si>
    <t>x1New</t>
  </si>
  <si>
    <t>y1New</t>
  </si>
  <si>
    <t>x2New</t>
  </si>
  <si>
    <t>y2New</t>
  </si>
  <si>
    <t>magnitudeNew</t>
  </si>
  <si>
    <t>Original Vector</t>
  </si>
  <si>
    <t>Local Coordinate Offsets</t>
  </si>
  <si>
    <t>Global</t>
  </si>
  <si>
    <t>xSCale</t>
  </si>
  <si>
    <t>yScale</t>
  </si>
  <si>
    <t>grids/mm</t>
  </si>
  <si>
    <t>Scale</t>
  </si>
  <si>
    <t>Local1</t>
  </si>
  <si>
    <t>Local2</t>
  </si>
  <si>
    <t>SlopeParametric</t>
  </si>
  <si>
    <t>xPrime</t>
  </si>
  <si>
    <t>yPrime</t>
  </si>
  <si>
    <t>CurvatureParametric</t>
  </si>
  <si>
    <t>xPrimeDouble</t>
  </si>
  <si>
    <t>yPrimeDouble</t>
  </si>
  <si>
    <t>SlopeGraph</t>
  </si>
  <si>
    <t>CurvatureGraph</t>
  </si>
  <si>
    <t>SlopePolar</t>
  </si>
  <si>
    <t>thetaRadians</t>
  </si>
  <si>
    <t>radiusPrime</t>
  </si>
  <si>
    <t>CurvaturePolar</t>
  </si>
  <si>
    <t>radiusPrimeDouble</t>
  </si>
  <si>
    <t>SlopeImplicit</t>
  </si>
  <si>
    <t>Fx</t>
  </si>
  <si>
    <t>Fy</t>
  </si>
  <si>
    <t>CurvatureImplicit</t>
  </si>
  <si>
    <t>Fxx</t>
  </si>
  <si>
    <t>Fxy</t>
  </si>
  <si>
    <t>Fyy</t>
  </si>
  <si>
    <t>Line-Circular</t>
  </si>
  <si>
    <t>Circular-Circular</t>
  </si>
  <si>
    <t>xR</t>
  </si>
  <si>
    <t>yR</t>
  </si>
  <si>
    <t>xR1</t>
  </si>
  <si>
    <t>yR1</t>
  </si>
  <si>
    <t>radius1</t>
  </si>
  <si>
    <t>xR2</t>
  </si>
  <si>
    <t>yR2</t>
  </si>
  <si>
    <t>radius2</t>
  </si>
  <si>
    <t>Line-Line</t>
  </si>
  <si>
    <t>Line 1</t>
  </si>
  <si>
    <t>Circle 1</t>
  </si>
  <si>
    <t>Circle 2</t>
  </si>
  <si>
    <t>m1</t>
  </si>
  <si>
    <t>m2</t>
  </si>
  <si>
    <t>Intersection</t>
  </si>
  <si>
    <t>Line2</t>
  </si>
  <si>
    <t>Perpedicular aligned quadrant 1</t>
  </si>
  <si>
    <t>Perpedicular aligned quadrant 2</t>
  </si>
  <si>
    <t>Perpedicular aligned quadrant 3</t>
  </si>
  <si>
    <t>Perpedicular aligned quadrant 4</t>
  </si>
  <si>
    <t>Perpendicular, rotated</t>
  </si>
  <si>
    <t>Sloped-Vertical</t>
  </si>
  <si>
    <t>Sloped-Horizontal</t>
  </si>
  <si>
    <t>dx</t>
  </si>
  <si>
    <t>dy</t>
  </si>
  <si>
    <t>dr</t>
  </si>
  <si>
    <t>delta</t>
  </si>
  <si>
    <t>No intersection</t>
  </si>
  <si>
    <t>No Intersection</t>
  </si>
  <si>
    <t>+Sloped Intersection through origin</t>
  </si>
  <si>
    <t>Vertical Intersection through origin</t>
  </si>
  <si>
    <t>Horizontal Intersection through origin</t>
  </si>
  <si>
    <t>Sloped Intersection</t>
  </si>
  <si>
    <t>-Sloped Intersection through origin</t>
  </si>
  <si>
    <t>Vertical Intersection at +x</t>
  </si>
  <si>
    <t>Vertical Intersection at -x</t>
  </si>
  <si>
    <t>Horizontal Intersection at +y</t>
  </si>
  <si>
    <t>Horizontal Intersection at -y</t>
  </si>
  <si>
    <t>Vertical Tangent at +x</t>
  </si>
  <si>
    <t>Vertical Tangent at -x</t>
  </si>
  <si>
    <t>Horizontal Tangent at +y</t>
  </si>
  <si>
    <t>Horizontal Tangent at -y</t>
  </si>
  <si>
    <t>No intersection, Shifted+</t>
  </si>
  <si>
    <t>Tangent, Shifted+</t>
  </si>
  <si>
    <t>Intersection, Shifted+</t>
  </si>
  <si>
    <t>No intersection, Shifted-</t>
  </si>
  <si>
    <t>Tangent, Shifted-</t>
  </si>
  <si>
    <t>Intersection, Shifted-</t>
  </si>
  <si>
    <t>No intersection, Rotated+</t>
  </si>
  <si>
    <t>Tangent, Rotated+</t>
  </si>
  <si>
    <t>Intersection, Rotated+</t>
  </si>
  <si>
    <t>Note: Intersections are always returned in local coordinates and need to be transformed back</t>
  </si>
  <si>
    <t>b1</t>
  </si>
  <si>
    <t>b2</t>
  </si>
  <si>
    <t>Vertical-Vertical Parallel</t>
  </si>
  <si>
    <t>Vertical-Vertical Tangent</t>
  </si>
  <si>
    <t>Horizontal-Horizontal Tangent</t>
  </si>
  <si>
    <t>Horizontal-Horizontal Parallel</t>
  </si>
  <si>
    <t>Sloped-Sloped</t>
  </si>
  <si>
    <t>Sloped-Sloped Parallel</t>
  </si>
  <si>
    <t>Sloped-Sloped Tangent</t>
  </si>
  <si>
    <t>Intersection, Local Coords</t>
  </si>
  <si>
    <t>Intersection, Global Coords</t>
  </si>
  <si>
    <t>DeltaX</t>
  </si>
  <si>
    <t>DeltaY</t>
  </si>
  <si>
    <t>Rotation</t>
  </si>
  <si>
    <t>No Intersection in translated coordinates</t>
  </si>
  <si>
    <t>Sloped Tangent in Quadrant 1</t>
  </si>
  <si>
    <t>Sloped Tangent in Quadrant 2</t>
  </si>
  <si>
    <t>Sloped Tangent in Quadrant 3</t>
  </si>
  <si>
    <t>Sloped Tangent in Quadrant 4</t>
  </si>
  <si>
    <t>Sloped Tangent in Quadrant 1 in translated coordinates</t>
  </si>
  <si>
    <t>Sloped Intersection in translated coordinates</t>
  </si>
  <si>
    <t>Line 1 - Global</t>
  </si>
  <si>
    <t>Line 1 - Relative</t>
  </si>
  <si>
    <t>Tangent, Translated and Rotated to quadrant 1</t>
  </si>
  <si>
    <t>Tangent, Translated and Rotated to quadrant 2</t>
  </si>
  <si>
    <t>Tangent, Translated and Rotated to quadrant 3</t>
  </si>
  <si>
    <t>Tangent, Translated and Rotated to quadrant 4</t>
  </si>
  <si>
    <t>No intersection, Translated and Rotated to quadrant 1</t>
  </si>
  <si>
    <t>No intersection, Translated and Rotated to quadrant 3</t>
  </si>
  <si>
    <t>No intersection, Translated and Rotated to quadrant 4</t>
  </si>
  <si>
    <t>No intersection, Translated and Rotated to quadrant 2</t>
  </si>
  <si>
    <t>Intersection, Translated and Rotated to quadrant 1</t>
  </si>
  <si>
    <t>Intersection, Translated and Rotated to quadrant 2</t>
  </si>
  <si>
    <t>Intersection, Translated and Rotated to quadrant 3</t>
  </si>
  <si>
    <t>Intersection, Translated and Rotated to quadrant 4</t>
  </si>
  <si>
    <t>Local-Global Coordinate System Transforms</t>
  </si>
  <si>
    <t>X-Axis Coordinate</t>
  </si>
  <si>
    <t>Local Origin Coord</t>
  </si>
  <si>
    <t>Pt - Global</t>
  </si>
  <si>
    <t>Pt - Local</t>
  </si>
  <si>
    <t>Coordinate System Offsets</t>
  </si>
  <si>
    <t>theta (rad)</t>
  </si>
  <si>
    <t>theta (deg)</t>
  </si>
  <si>
    <t>Translated &amp; Rotated system with x-axis towards global Quad 1, local coord in Quad 1</t>
  </si>
  <si>
    <t>Rotated system x-axis towards global Quad 1, local Quad 1</t>
  </si>
  <si>
    <t>Rotated system x-axis towards global Quad 2, local Quad 4</t>
  </si>
  <si>
    <t>Rotated system x-axis towards global Quad 3, local Quad 3</t>
  </si>
  <si>
    <t>Rotated system x-axis towards global Quad 4, local Quad 2</t>
  </si>
  <si>
    <t>Translated &amp; Rotated system with x-axis towards global Quad 2, local coord in Quad 4</t>
  </si>
  <si>
    <t>Translated &amp; Rotated system with x-axis towards global Quad 3, local coord in Quad 3</t>
  </si>
  <si>
    <t>Translated &amp; Rotated system with x-axis towards global Quad 4, local coord in Quad 2</t>
  </si>
  <si>
    <t>Translated &amp; Rotated system with x-axis towards global Quad 2, local coord in Quad 1</t>
  </si>
  <si>
    <t>Translated &amp; Rotated system with x-axis towards global Quad 3, local coord in Quad 1</t>
  </si>
  <si>
    <t>Translated &amp; Rotated system with x-axis towards global Quad 4, local coord in Quad 1</t>
  </si>
  <si>
    <t>Translated &amp; Rotated system with x-axis towards global Quad 1, local coord in Quad 4</t>
  </si>
  <si>
    <t>Translated &amp; Rotated system with x-axis towards global Quad 3, local coord in Quad 4</t>
  </si>
  <si>
    <t>Translated &amp; Rotated system with x-axis towards global Quad 4, local coord in Quad 4</t>
  </si>
  <si>
    <t>Translated &amp; Rotated system with x-axis towards global Quad 1, local coord in Quad 2</t>
  </si>
  <si>
    <t>Translated &amp; Rotated system with x-axis towards global Quad 2, local coord in Quad 2</t>
  </si>
  <si>
    <t>Translated &amp; Rotated system with x-axis towards global Quad 3, local coord in Quad 2</t>
  </si>
  <si>
    <t>Translated &amp; Rotated system with x-axis towards global Quad 1, local coord in Quad 3</t>
  </si>
  <si>
    <t>Translated &amp; Rotated system with x-axis towards global Quad 2, local coord in Quad 3</t>
  </si>
  <si>
    <t>Translated &amp; Rotated system with x-axis towards global Quad 4, local coord in Quad 3</t>
  </si>
  <si>
    <t>Displaced Coord system in local Quad 1</t>
  </si>
  <si>
    <t>Displaced Coord system in local Quad 4</t>
  </si>
  <si>
    <t>Displaced Coord system in local Quad 2</t>
  </si>
  <si>
    <t>Displaced Coord system in local Quad 3</t>
  </si>
  <si>
    <t>Pt - Global-Specified</t>
  </si>
  <si>
    <t>r</t>
  </si>
  <si>
    <t>hrs/mo</t>
  </si>
  <si>
    <t>$/mo</t>
  </si>
  <si>
    <t>$/hr</t>
  </si>
  <si>
    <t>Bonus Equ.</t>
  </si>
  <si>
    <t>Base Rate for current skills</t>
  </si>
  <si>
    <t>Base Rate for new skills</t>
  </si>
  <si>
    <t>Rate if doing current skills full time</t>
  </si>
  <si>
    <t>Circular Curve</t>
  </si>
  <si>
    <t>Elliptical Curve</t>
  </si>
  <si>
    <t>Parabolic Curve</t>
  </si>
  <si>
    <t>Hyperbolic Curve</t>
  </si>
  <si>
    <t>Vertex Major</t>
  </si>
  <si>
    <t>Local Origin</t>
  </si>
  <si>
    <t>rad</t>
  </si>
  <si>
    <t>Local</t>
  </si>
  <si>
    <t>Vertex Minor</t>
  </si>
  <si>
    <t>DirectrixPt1</t>
  </si>
  <si>
    <t>DirectrixPt2</t>
  </si>
  <si>
    <t>Global1</t>
  </si>
  <si>
    <t>Global2</t>
  </si>
  <si>
    <t>Origin</t>
  </si>
  <si>
    <t>Translation Quad 1</t>
  </si>
  <si>
    <t>Translation Quad 2</t>
  </si>
  <si>
    <t>Translation Quad 3</t>
  </si>
  <si>
    <t>Translation Quad 4</t>
  </si>
  <si>
    <t>Rotation 45 deg</t>
  </si>
  <si>
    <t>Rotation 90 deg</t>
  </si>
  <si>
    <t>Rotation 180 deg</t>
  </si>
  <si>
    <t>Rotation -45 deg</t>
  </si>
  <si>
    <t>Rotation -90 deg</t>
  </si>
  <si>
    <t>Rotation -180 deg</t>
  </si>
  <si>
    <t>Translated Quad 1 &amp; Rotated 45 deg</t>
  </si>
  <si>
    <t>Length Between</t>
  </si>
  <si>
    <t>x-Coordinates</t>
  </si>
  <si>
    <t>y-Coordinates</t>
  </si>
  <si>
    <t>Global Coordinates</t>
  </si>
  <si>
    <t>Offsets</t>
  </si>
  <si>
    <t>Out of range +</t>
  </si>
  <si>
    <t>Out of range -</t>
  </si>
  <si>
    <t>Aligned with origin</t>
  </si>
  <si>
    <t>half radius +</t>
  </si>
  <si>
    <t>half radius -</t>
  </si>
  <si>
    <t>radius +</t>
  </si>
  <si>
    <t>radius -</t>
  </si>
  <si>
    <t>Offset aligned with origin</t>
  </si>
  <si>
    <t>Offset half radius +</t>
  </si>
  <si>
    <t>Offset half radius -</t>
  </si>
  <si>
    <t>Offset radius +</t>
  </si>
  <si>
    <t>Offset radius -</t>
  </si>
  <si>
    <t>Offset out of range +</t>
  </si>
  <si>
    <t>Offset out of range -</t>
  </si>
  <si>
    <t>CoordinateOfPerpendicularProjection</t>
  </si>
  <si>
    <t>x-axis + outside</t>
  </si>
  <si>
    <t>x-axis - outside</t>
  </si>
  <si>
    <t>y-axis + outside</t>
  </si>
  <si>
    <t>y-axis - outside</t>
  </si>
  <si>
    <t>x-axis + inside</t>
  </si>
  <si>
    <t>x-axis - inside</t>
  </si>
  <si>
    <t>y-axis + inside</t>
  </si>
  <si>
    <t>y-axis - inside</t>
  </si>
  <si>
    <t>Infinity</t>
  </si>
  <si>
    <t>Pt (Local)</t>
  </si>
  <si>
    <t>Pt (Global)</t>
  </si>
  <si>
    <t>_|_ Intersection (Global)</t>
  </si>
  <si>
    <t>Diagonal Outside Quad 1</t>
  </si>
  <si>
    <t>Diagonal Outside Quad 2</t>
  </si>
  <si>
    <t>Diagonal Outside Quad 3</t>
  </si>
  <si>
    <t>Diagonal Outside Quad 4</t>
  </si>
  <si>
    <t>Diagonal inside Quad 1</t>
  </si>
  <si>
    <t>Diagonal inside Quad 2</t>
  </si>
  <si>
    <t>Diagonal inside Quad 3</t>
  </si>
  <si>
    <t>Diagonal inside Quad 4</t>
  </si>
  <si>
    <t>_|_ Intersection (Local)</t>
  </si>
  <si>
    <t>Closest Point</t>
  </si>
  <si>
    <t>All Points</t>
  </si>
  <si>
    <t>Hyper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</si>
</sst>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00"/>
    <numFmt numFmtId="166" formatCode="0.000000"/>
    <numFmt numFmtId="167" formatCode="0.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b/>
      <sz val="11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0" fontId="3" fillId="0" borderId="0"/>
    <xf numFmtId="9" fontId="8" fillId="0" borderId="0" applyFont="0" applyFill="0" applyBorder="0" applyAlignment="0" applyProtection="0"/>
  </cellStyleXfs>
  <cellXfs count="162">
    <xf numFmtId="0" fontId="0" fillId="0" borderId="0" xfId="0"/>
    <xf numFmtId="0" fontId="0" fillId="0" borderId="0" xfId="0" quotePrefix="1"/>
    <xf numFmtId="0" fontId="0" fillId="2" borderId="0" xfId="0" applyFill="1"/>
    <xf numFmtId="0" fontId="0" fillId="0" borderId="0" xfId="0" applyFill="1"/>
    <xf numFmtId="0" fontId="1" fillId="0" borderId="0" xfId="0" applyFont="1" applyFill="1"/>
    <xf numFmtId="164" fontId="0" fillId="0" borderId="0" xfId="0" applyNumberFormat="1"/>
    <xf numFmtId="0" fontId="1" fillId="0" borderId="0" xfId="0" applyFont="1"/>
    <xf numFmtId="0" fontId="0" fillId="0" borderId="0" xfId="0" applyFont="1"/>
    <xf numFmtId="0" fontId="0" fillId="2" borderId="0" xfId="0" applyFont="1" applyFill="1"/>
    <xf numFmtId="0" fontId="0" fillId="3" borderId="0" xfId="0" applyFill="1"/>
    <xf numFmtId="0" fontId="2" fillId="0" borderId="0" xfId="0" applyFont="1"/>
    <xf numFmtId="0" fontId="0" fillId="2" borderId="1" xfId="0" applyFill="1" applyBorder="1"/>
    <xf numFmtId="0" fontId="0" fillId="2" borderId="0" xfId="0" applyFill="1" applyBorder="1"/>
    <xf numFmtId="0" fontId="1" fillId="0" borderId="1" xfId="0" applyFont="1" applyBorder="1"/>
    <xf numFmtId="0" fontId="1" fillId="0" borderId="0" xfId="0" applyFont="1" applyBorder="1"/>
    <xf numFmtId="0" fontId="0" fillId="0" borderId="1" xfId="0" applyBorder="1"/>
    <xf numFmtId="0" fontId="0" fillId="0" borderId="0" xfId="0" applyBorder="1"/>
    <xf numFmtId="0" fontId="0" fillId="2" borderId="2" xfId="0" applyFill="1" applyBorder="1"/>
    <xf numFmtId="0" fontId="1" fillId="0" borderId="2" xfId="0" applyFont="1" applyBorder="1"/>
    <xf numFmtId="0" fontId="0" fillId="0" borderId="2" xfId="0" applyBorder="1"/>
    <xf numFmtId="0" fontId="2" fillId="2" borderId="0" xfId="0" applyFont="1" applyFill="1"/>
    <xf numFmtId="0" fontId="0" fillId="0" borderId="0" xfId="0" applyFill="1" applyBorder="1"/>
    <xf numFmtId="165" fontId="0" fillId="0" borderId="0" xfId="0" applyNumberFormat="1"/>
    <xf numFmtId="0" fontId="1" fillId="4" borderId="0" xfId="0" applyFont="1" applyFill="1"/>
    <xf numFmtId="0" fontId="0" fillId="4" borderId="0" xfId="0" applyFill="1"/>
    <xf numFmtId="0" fontId="0" fillId="5" borderId="0" xfId="0" applyFill="1"/>
    <xf numFmtId="0" fontId="0" fillId="2" borderId="0" xfId="0" quotePrefix="1" applyFill="1"/>
    <xf numFmtId="166" fontId="0" fillId="0" borderId="0" xfId="0" applyNumberFormat="1"/>
    <xf numFmtId="0" fontId="3" fillId="0" borderId="0" xfId="0" applyFont="1" applyFill="1" applyBorder="1"/>
    <xf numFmtId="0" fontId="3" fillId="0" borderId="1" xfId="0" applyFont="1" applyFill="1" applyBorder="1"/>
    <xf numFmtId="0" fontId="0" fillId="0" borderId="2" xfId="0" applyFill="1" applyBorder="1"/>
    <xf numFmtId="167" fontId="0" fillId="0" borderId="0" xfId="0" applyNumberFormat="1"/>
    <xf numFmtId="167" fontId="3" fillId="0" borderId="0" xfId="1" applyNumberFormat="1"/>
    <xf numFmtId="0" fontId="0" fillId="6" borderId="0" xfId="0" applyFill="1"/>
    <xf numFmtId="2" fontId="3" fillId="6" borderId="0" xfId="0" applyNumberFormat="1" applyFont="1" applyFill="1"/>
    <xf numFmtId="167" fontId="0" fillId="2" borderId="0" xfId="0" applyNumberFormat="1" applyFill="1"/>
    <xf numFmtId="0" fontId="1" fillId="0" borderId="0" xfId="0" applyFont="1" applyFill="1" applyBorder="1"/>
    <xf numFmtId="1" fontId="0" fillId="2" borderId="0" xfId="0" applyNumberFormat="1" applyFill="1"/>
    <xf numFmtId="0" fontId="2" fillId="0" borderId="1" xfId="0" applyFont="1" applyBorder="1"/>
    <xf numFmtId="0" fontId="2" fillId="0" borderId="2" xfId="0" applyFont="1" applyBorder="1"/>
    <xf numFmtId="0" fontId="2" fillId="0" borderId="0" xfId="0" applyFont="1" applyBorder="1"/>
    <xf numFmtId="166" fontId="0" fillId="6" borderId="0" xfId="0" applyNumberFormat="1" applyFill="1"/>
    <xf numFmtId="0" fontId="0" fillId="6" borderId="0" xfId="0" quotePrefix="1" applyFill="1"/>
    <xf numFmtId="167" fontId="0" fillId="6" borderId="0" xfId="0" applyNumberFormat="1" applyFill="1"/>
    <xf numFmtId="0" fontId="0" fillId="7" borderId="0" xfId="0" applyFill="1"/>
    <xf numFmtId="167" fontId="0" fillId="0" borderId="0" xfId="0" applyNumberFormat="1" applyFill="1"/>
    <xf numFmtId="0" fontId="1" fillId="7" borderId="0" xfId="0" applyFont="1" applyFill="1"/>
    <xf numFmtId="0" fontId="1" fillId="6" borderId="0" xfId="0" applyFont="1" applyFill="1"/>
    <xf numFmtId="167" fontId="1" fillId="6" borderId="0" xfId="0" applyNumberFormat="1" applyFont="1" applyFill="1"/>
    <xf numFmtId="0" fontId="1" fillId="8" borderId="0" xfId="0" applyFont="1" applyFill="1"/>
    <xf numFmtId="0" fontId="0" fillId="8" borderId="0" xfId="0" applyFill="1"/>
    <xf numFmtId="0" fontId="2" fillId="0" borderId="0" xfId="0" applyFont="1" applyFill="1"/>
    <xf numFmtId="0" fontId="2" fillId="9" borderId="0" xfId="0" applyFont="1" applyFill="1"/>
    <xf numFmtId="0" fontId="5" fillId="0" borderId="0" xfId="0" applyFont="1"/>
    <xf numFmtId="0" fontId="7" fillId="0" borderId="0" xfId="0" applyFont="1"/>
    <xf numFmtId="0" fontId="0" fillId="7" borderId="0" xfId="0" applyFont="1" applyFill="1"/>
    <xf numFmtId="0" fontId="0" fillId="0" borderId="1" xfId="0" applyFont="1" applyBorder="1"/>
    <xf numFmtId="0" fontId="0" fillId="0" borderId="0" xfId="0" applyFont="1" applyBorder="1"/>
    <xf numFmtId="0" fontId="0" fillId="0" borderId="2" xfId="0" applyFont="1" applyBorder="1"/>
    <xf numFmtId="0" fontId="0" fillId="0" borderId="1" xfId="0" applyFill="1" applyBorder="1"/>
    <xf numFmtId="0" fontId="1" fillId="0" borderId="2" xfId="0" applyFont="1" applyFill="1" applyBorder="1"/>
    <xf numFmtId="0" fontId="1" fillId="0" borderId="1" xfId="0" applyFont="1" applyFill="1" applyBorder="1"/>
    <xf numFmtId="0" fontId="0" fillId="10" borderId="1" xfId="0" applyFont="1" applyFill="1" applyBorder="1"/>
    <xf numFmtId="0" fontId="0" fillId="10" borderId="0" xfId="0" applyFont="1" applyFill="1" applyBorder="1"/>
    <xf numFmtId="0" fontId="0" fillId="10" borderId="2" xfId="0" applyFont="1" applyFill="1" applyBorder="1"/>
    <xf numFmtId="0" fontId="0" fillId="10" borderId="0" xfId="0" applyFont="1" applyFill="1"/>
    <xf numFmtId="0" fontId="0" fillId="0" borderId="0" xfId="0" applyFont="1" applyFill="1"/>
    <xf numFmtId="0" fontId="0" fillId="0" borderId="0" xfId="0" applyFont="1" applyFill="1" applyBorder="1"/>
    <xf numFmtId="0" fontId="0" fillId="0" borderId="1" xfId="0" applyFont="1" applyFill="1" applyBorder="1"/>
    <xf numFmtId="0" fontId="0" fillId="0" borderId="2" xfId="0" applyFont="1" applyFill="1" applyBorder="1"/>
    <xf numFmtId="0" fontId="1" fillId="0" borderId="1" xfId="0" applyFont="1" applyFill="1" applyBorder="1" applyAlignment="1"/>
    <xf numFmtId="0" fontId="1" fillId="0" borderId="0" xfId="0" applyFont="1" applyFill="1" applyBorder="1" applyAlignment="1"/>
    <xf numFmtId="0" fontId="1" fillId="0" borderId="0" xfId="0" applyFont="1" applyFill="1" applyAlignment="1"/>
    <xf numFmtId="0" fontId="0" fillId="4" borderId="0" xfId="0" applyFont="1" applyFill="1"/>
    <xf numFmtId="0" fontId="0" fillId="11" borderId="0" xfId="0" applyFont="1" applyFill="1"/>
    <xf numFmtId="0" fontId="0" fillId="11" borderId="0" xfId="0" applyFill="1"/>
    <xf numFmtId="0" fontId="0" fillId="12" borderId="0" xfId="0" applyFill="1"/>
    <xf numFmtId="0" fontId="0" fillId="12" borderId="0" xfId="0" applyFont="1" applyFill="1"/>
    <xf numFmtId="166" fontId="0" fillId="11" borderId="0" xfId="0" applyNumberFormat="1" applyFill="1"/>
    <xf numFmtId="0" fontId="0" fillId="13" borderId="0" xfId="0" applyFont="1" applyFill="1"/>
    <xf numFmtId="0" fontId="1" fillId="13" borderId="0" xfId="0" applyFont="1" applyFill="1"/>
    <xf numFmtId="0" fontId="0" fillId="11" borderId="1" xfId="0" applyFill="1" applyBorder="1"/>
    <xf numFmtId="0" fontId="0" fillId="11" borderId="0" xfId="0" applyFill="1" applyBorder="1"/>
    <xf numFmtId="0" fontId="2" fillId="11" borderId="2" xfId="0" applyFont="1" applyFill="1" applyBorder="1"/>
    <xf numFmtId="0" fontId="0" fillId="11" borderId="2" xfId="0" applyFill="1" applyBorder="1"/>
    <xf numFmtId="0" fontId="2" fillId="13" borderId="0" xfId="0" applyFont="1" applyFill="1"/>
    <xf numFmtId="0" fontId="2" fillId="4" borderId="0" xfId="0" applyFont="1" applyFill="1"/>
    <xf numFmtId="0" fontId="2" fillId="11" borderId="0" xfId="0" applyFont="1" applyFill="1"/>
    <xf numFmtId="0" fontId="2" fillId="12" borderId="0" xfId="0" applyFont="1" applyFill="1"/>
    <xf numFmtId="0" fontId="2" fillId="0" borderId="2" xfId="0" applyFont="1" applyFill="1" applyBorder="1"/>
    <xf numFmtId="0" fontId="0" fillId="0" borderId="6" xfId="0" applyBorder="1"/>
    <xf numFmtId="0" fontId="0" fillId="0" borderId="7" xfId="0" applyBorder="1"/>
    <xf numFmtId="0" fontId="0" fillId="0" borderId="6" xfId="0" applyFont="1" applyFill="1" applyBorder="1"/>
    <xf numFmtId="0" fontId="0" fillId="0" borderId="7" xfId="0" applyFont="1" applyFill="1" applyBorder="1"/>
    <xf numFmtId="0" fontId="2" fillId="0" borderId="9" xfId="0" applyFont="1" applyBorder="1"/>
    <xf numFmtId="0" fontId="0" fillId="0" borderId="9" xfId="0" applyBorder="1"/>
    <xf numFmtId="0" fontId="0" fillId="13" borderId="9" xfId="0" applyFont="1" applyFill="1" applyBorder="1"/>
    <xf numFmtId="0" fontId="0" fillId="0" borderId="10" xfId="0" applyFont="1" applyFill="1" applyBorder="1"/>
    <xf numFmtId="0" fontId="0" fillId="0" borderId="9" xfId="0" applyFont="1" applyFill="1" applyBorder="1"/>
    <xf numFmtId="0" fontId="0" fillId="0" borderId="8" xfId="0" applyFont="1" applyFill="1" applyBorder="1"/>
    <xf numFmtId="0" fontId="0" fillId="0" borderId="11" xfId="0" applyFont="1" applyFill="1" applyBorder="1"/>
    <xf numFmtId="0" fontId="0" fillId="0" borderId="12" xfId="0" applyFont="1" applyFill="1" applyBorder="1"/>
    <xf numFmtId="0" fontId="0" fillId="13" borderId="0" xfId="0" applyFont="1" applyFill="1" applyBorder="1"/>
    <xf numFmtId="0" fontId="2" fillId="0" borderId="0" xfId="0" applyFont="1" applyFill="1" applyBorder="1"/>
    <xf numFmtId="0" fontId="10" fillId="0" borderId="9" xfId="0" applyFont="1" applyBorder="1"/>
    <xf numFmtId="0" fontId="10" fillId="0" borderId="0" xfId="0" applyFont="1" applyBorder="1"/>
    <xf numFmtId="10" fontId="0" fillId="0" borderId="0" xfId="2" applyNumberFormat="1" applyFont="1"/>
    <xf numFmtId="0" fontId="0" fillId="0" borderId="13" xfId="0" applyBorder="1" applyAlignment="1"/>
    <xf numFmtId="0" fontId="0" fillId="0" borderId="13" xfId="0" applyBorder="1"/>
    <xf numFmtId="0" fontId="2" fillId="0" borderId="14" xfId="0" applyFont="1" applyFill="1" applyBorder="1"/>
    <xf numFmtId="0" fontId="2" fillId="0" borderId="13" xfId="0" applyFont="1" applyFill="1" applyBorder="1"/>
    <xf numFmtId="0" fontId="0" fillId="0" borderId="13" xfId="0" applyBorder="1" applyAlignment="1">
      <alignment horizontal="center"/>
    </xf>
    <xf numFmtId="0" fontId="0" fillId="0" borderId="14" xfId="0" applyBorder="1"/>
    <xf numFmtId="0" fontId="0" fillId="0" borderId="14" xfId="0" applyFont="1" applyFill="1" applyBorder="1"/>
    <xf numFmtId="0" fontId="0" fillId="0" borderId="13" xfId="0" applyFont="1" applyFill="1" applyBorder="1"/>
    <xf numFmtId="0" fontId="11" fillId="0" borderId="13" xfId="0" applyFont="1" applyFill="1" applyBorder="1"/>
    <xf numFmtId="0" fontId="0" fillId="14" borderId="0" xfId="0" applyFill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2" fillId="0" borderId="9" xfId="0" applyFont="1" applyFill="1" applyBorder="1"/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11" xfId="0" applyFont="1" applyBorder="1"/>
    <xf numFmtId="0" fontId="2" fillId="0" borderId="12" xfId="0" applyFont="1" applyBorder="1"/>
    <xf numFmtId="0" fontId="1" fillId="0" borderId="2" xfId="0" applyFont="1" applyBorder="1" applyAlignment="1">
      <alignment horizontal="center"/>
    </xf>
    <xf numFmtId="0" fontId="10" fillId="15" borderId="11" xfId="0" applyFont="1" applyFill="1" applyBorder="1"/>
    <xf numFmtId="0" fontId="10" fillId="15" borderId="12" xfId="0" applyFont="1" applyFill="1" applyBorder="1"/>
    <xf numFmtId="0" fontId="10" fillId="15" borderId="1" xfId="0" applyFont="1" applyFill="1" applyBorder="1"/>
    <xf numFmtId="0" fontId="10" fillId="15" borderId="2" xfId="0" applyFont="1" applyFill="1" applyBorder="1"/>
    <xf numFmtId="0" fontId="0" fillId="0" borderId="12" xfId="0" applyBorder="1"/>
    <xf numFmtId="0" fontId="2" fillId="16" borderId="0" xfId="0" applyFont="1" applyFill="1"/>
    <xf numFmtId="0" fontId="2" fillId="16" borderId="1" xfId="0" applyFont="1" applyFill="1" applyBorder="1"/>
    <xf numFmtId="0" fontId="2" fillId="16" borderId="0" xfId="0" applyFont="1" applyFill="1" applyBorder="1"/>
    <xf numFmtId="0" fontId="2" fillId="16" borderId="2" xfId="0" applyFont="1" applyFill="1" applyBorder="1"/>
    <xf numFmtId="0" fontId="0" fillId="16" borderId="0" xfId="0" applyFill="1"/>
    <xf numFmtId="0" fontId="10" fillId="16" borderId="1" xfId="0" applyFont="1" applyFill="1" applyBorder="1"/>
    <xf numFmtId="0" fontId="10" fillId="16" borderId="2" xfId="0" applyFont="1" applyFill="1" applyBorder="1"/>
    <xf numFmtId="0" fontId="0" fillId="16" borderId="1" xfId="0" applyFill="1" applyBorder="1"/>
    <xf numFmtId="0" fontId="0" fillId="16" borderId="2" xfId="0" applyFill="1" applyBorder="1"/>
    <xf numFmtId="0" fontId="1" fillId="0" borderId="15" xfId="0" applyFont="1" applyBorder="1"/>
    <xf numFmtId="0" fontId="1" fillId="0" borderId="6" xfId="0" applyFont="1" applyBorder="1"/>
    <xf numFmtId="0" fontId="1" fillId="0" borderId="16" xfId="0" applyFont="1" applyBorder="1"/>
    <xf numFmtId="0" fontId="0" fillId="0" borderId="10" xfId="0" applyBorder="1"/>
    <xf numFmtId="0" fontId="0" fillId="16" borderId="6" xfId="0" applyFill="1" applyBorder="1"/>
    <xf numFmtId="0" fontId="0" fillId="16" borderId="7" xfId="0" applyFill="1" applyBorder="1"/>
    <xf numFmtId="0" fontId="2" fillId="0" borderId="6" xfId="0" applyFont="1" applyBorder="1"/>
  </cellXfs>
  <cellStyles count="3">
    <cellStyle name="Normal" xfId="0" builtinId="0"/>
    <cellStyle name="Normal 2 2" xfId="1" xr:uid="{C4FB165C-2132-42F8-944E-A2831D18FA54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2436435533664E-2"/>
          <c:y val="5.1400554097404488E-2"/>
          <c:w val="0.66936140691664647"/>
          <c:h val="0.89719889180519097"/>
        </c:manualLayout>
      </c:layout>
      <c:scatterChart>
        <c:scatterStyle val="lineMarker"/>
        <c:varyColors val="0"/>
        <c:ser>
          <c:idx val="0"/>
          <c:order val="0"/>
          <c:tx>
            <c:v>Bezier 1</c:v>
          </c:tx>
          <c:spPr>
            <a:ln w="28575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circle"/>
            <c:size val="4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'Bezier Curves'!$C$9:$C$11</c:f>
              <c:numCache>
                <c:formatCode>General</c:formatCode>
                <c:ptCount val="3"/>
                <c:pt idx="0">
                  <c:v>-2.4089240919219868</c:v>
                </c:pt>
                <c:pt idx="1">
                  <c:v>0</c:v>
                </c:pt>
                <c:pt idx="2">
                  <c:v>2.4089240919219868</c:v>
                </c:pt>
              </c:numCache>
            </c:numRef>
          </c:xVal>
          <c:yVal>
            <c:numRef>
              <c:f>'Bezier Curves'!$D$9:$D$11</c:f>
              <c:numCache>
                <c:formatCode>General</c:formatCode>
                <c:ptCount val="3"/>
                <c:pt idx="0">
                  <c:v>-5.165954386108905</c:v>
                </c:pt>
                <c:pt idx="1">
                  <c:v>0</c:v>
                </c:pt>
                <c:pt idx="2">
                  <c:v>5.165954386108905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FF-4C2B-8ACB-26543044B35B}"/>
            </c:ext>
          </c:extLst>
        </c:ser>
        <c:ser>
          <c:idx val="1"/>
          <c:order val="1"/>
          <c:tx>
            <c:v>Bezier 2</c:v>
          </c:tx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circle"/>
            <c:size val="4"/>
            <c:spPr>
              <a:solidFill>
                <a:srgbClr val="FFFF00"/>
              </a:solidFill>
              <a:ln>
                <a:solidFill>
                  <a:srgbClr val="1F497D">
                    <a:lumMod val="60000"/>
                    <a:lumOff val="40000"/>
                  </a:srgbClr>
                </a:solidFill>
              </a:ln>
            </c:spPr>
          </c:marker>
          <c:xVal>
            <c:numRef>
              <c:f>'Bezier Curves'!$H$9:$H$11</c:f>
              <c:numCache>
                <c:formatCode>General</c:formatCode>
                <c:ptCount val="3"/>
                <c:pt idx="0">
                  <c:v>7.2422835533724648</c:v>
                </c:pt>
                <c:pt idx="1">
                  <c:v>10</c:v>
                </c:pt>
                <c:pt idx="2">
                  <c:v>12.757716446627535</c:v>
                </c:pt>
              </c:numCache>
            </c:numRef>
          </c:xVal>
          <c:yVal>
            <c:numRef>
              <c:f>'Bezier Curves'!$I$9:$I$11</c:f>
              <c:numCache>
                <c:formatCode>General</c:formatCode>
                <c:ptCount val="3"/>
                <c:pt idx="0">
                  <c:v>-2.7577164466275352</c:v>
                </c:pt>
                <c:pt idx="1">
                  <c:v>0</c:v>
                </c:pt>
                <c:pt idx="2">
                  <c:v>2.7577164466275352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FF-4C2B-8ACB-26543044B35B}"/>
            </c:ext>
          </c:extLst>
        </c:ser>
        <c:ser>
          <c:idx val="2"/>
          <c:order val="2"/>
          <c:tx>
            <c:v>Curve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'Bezier Curves'!$B$16:$B$1016</c:f>
              <c:numCache>
                <c:formatCode>General</c:formatCode>
                <c:ptCount val="1001"/>
                <c:pt idx="0">
                  <c:v>0</c:v>
                </c:pt>
                <c:pt idx="1">
                  <c:v>7.2990553290133778E-2</c:v>
                </c:pt>
                <c:pt idx="2">
                  <c:v>0.14740876733167854</c:v>
                </c:pt>
                <c:pt idx="3">
                  <c:v>0.22322764165432821</c:v>
                </c:pt>
                <c:pt idx="4">
                  <c:v>0.30042017578777658</c:v>
                </c:pt>
                <c:pt idx="5">
                  <c:v>0.37895936926171775</c:v>
                </c:pt>
                <c:pt idx="6">
                  <c:v>0.45881822160584546</c:v>
                </c:pt>
                <c:pt idx="7">
                  <c:v>0.53996973234985357</c:v>
                </c:pt>
                <c:pt idx="8">
                  <c:v>0.62238690102343586</c:v>
                </c:pt>
                <c:pt idx="9">
                  <c:v>0.70604272715628658</c:v>
                </c:pt>
                <c:pt idx="10">
                  <c:v>0.79091021027809916</c:v>
                </c:pt>
                <c:pt idx="11">
                  <c:v>0.87696234991856803</c:v>
                </c:pt>
                <c:pt idx="12">
                  <c:v>0.9641721456073864</c:v>
                </c:pt>
                <c:pt idx="13">
                  <c:v>1.052512596874249</c:v>
                </c:pt>
                <c:pt idx="14">
                  <c:v>1.1419567032488489</c:v>
                </c:pt>
                <c:pt idx="15">
                  <c:v>1.2324774642608809</c:v>
                </c:pt>
                <c:pt idx="16">
                  <c:v>1.3240478794400381</c:v>
                </c:pt>
                <c:pt idx="17">
                  <c:v>1.4166409483160149</c:v>
                </c:pt>
                <c:pt idx="18">
                  <c:v>1.5102296704185043</c:v>
                </c:pt>
                <c:pt idx="19">
                  <c:v>1.6047870452772015</c:v>
                </c:pt>
                <c:pt idx="20">
                  <c:v>1.7002860724217999</c:v>
                </c:pt>
                <c:pt idx="21">
                  <c:v>1.7966997513819927</c:v>
                </c:pt>
                <c:pt idx="22">
                  <c:v>1.8940010816874746</c:v>
                </c:pt>
                <c:pt idx="23">
                  <c:v>1.9921630628679392</c:v>
                </c:pt>
                <c:pt idx="24">
                  <c:v>2.09115869445308</c:v>
                </c:pt>
                <c:pt idx="25">
                  <c:v>2.1909609759725917</c:v>
                </c:pt>
                <c:pt idx="26">
                  <c:v>2.2915429069561672</c:v>
                </c:pt>
                <c:pt idx="27">
                  <c:v>2.3928774869335019</c:v>
                </c:pt>
                <c:pt idx="28">
                  <c:v>2.494937715434288</c:v>
                </c:pt>
                <c:pt idx="29">
                  <c:v>2.5976965919882211</c:v>
                </c:pt>
                <c:pt idx="30">
                  <c:v>2.7011271161249937</c:v>
                </c:pt>
                <c:pt idx="31">
                  <c:v>2.8052022873742994</c:v>
                </c:pt>
                <c:pt idx="32">
                  <c:v>2.9098951052658335</c:v>
                </c:pt>
                <c:pt idx="33">
                  <c:v>3.0151785693292883</c:v>
                </c:pt>
                <c:pt idx="34">
                  <c:v>3.1210256790943602</c:v>
                </c:pt>
                <c:pt idx="35">
                  <c:v>3.2274094340907404</c:v>
                </c:pt>
                <c:pt idx="36">
                  <c:v>3.3343028338481244</c:v>
                </c:pt>
                <c:pt idx="37">
                  <c:v>3.4416788778962055</c:v>
                </c:pt>
                <c:pt idx="38">
                  <c:v>3.5495105657646775</c:v>
                </c:pt>
                <c:pt idx="39">
                  <c:v>3.6577708969832345</c:v>
                </c:pt>
                <c:pt idx="40">
                  <c:v>3.7664328710815695</c:v>
                </c:pt>
                <c:pt idx="41">
                  <c:v>3.8754694875893789</c:v>
                </c:pt>
                <c:pt idx="42">
                  <c:v>3.9848537460363542</c:v>
                </c:pt>
                <c:pt idx="43">
                  <c:v>4.0945586459521897</c:v>
                </c:pt>
                <c:pt idx="44">
                  <c:v>4.2045571868665794</c:v>
                </c:pt>
                <c:pt idx="45">
                  <c:v>4.3148223683092191</c:v>
                </c:pt>
                <c:pt idx="46">
                  <c:v>4.4253271898098001</c:v>
                </c:pt>
                <c:pt idx="47">
                  <c:v>4.5360446508980168</c:v>
                </c:pt>
                <c:pt idx="48">
                  <c:v>4.6469477511035633</c:v>
                </c:pt>
                <c:pt idx="49">
                  <c:v>4.7580094899561338</c:v>
                </c:pt>
                <c:pt idx="50">
                  <c:v>4.8692028669854217</c:v>
                </c:pt>
                <c:pt idx="51">
                  <c:v>4.980500881721122</c:v>
                </c:pt>
                <c:pt idx="52">
                  <c:v>5.0918765336929273</c:v>
                </c:pt>
                <c:pt idx="53">
                  <c:v>5.2033028224305324</c:v>
                </c:pt>
                <c:pt idx="54">
                  <c:v>5.3147527474636318</c:v>
                </c:pt>
                <c:pt idx="55">
                  <c:v>5.426199308321916</c:v>
                </c:pt>
                <c:pt idx="56">
                  <c:v>5.5376155045350837</c:v>
                </c:pt>
                <c:pt idx="57">
                  <c:v>5.6489743356328255</c:v>
                </c:pt>
                <c:pt idx="58">
                  <c:v>5.7602488011448365</c:v>
                </c:pt>
                <c:pt idx="59">
                  <c:v>5.8714119006008101</c:v>
                </c:pt>
                <c:pt idx="60">
                  <c:v>5.9824366335304404</c:v>
                </c:pt>
                <c:pt idx="61">
                  <c:v>6.0932959994634208</c:v>
                </c:pt>
                <c:pt idx="62">
                  <c:v>6.2039629979294464</c:v>
                </c:pt>
                <c:pt idx="63">
                  <c:v>6.3144106284582096</c:v>
                </c:pt>
                <c:pt idx="64">
                  <c:v>6.4246118905794063</c:v>
                </c:pt>
                <c:pt idx="65">
                  <c:v>6.5345397838227282</c:v>
                </c:pt>
                <c:pt idx="66">
                  <c:v>6.6441673077178702</c:v>
                </c:pt>
                <c:pt idx="67">
                  <c:v>6.7534674617945267</c:v>
                </c:pt>
                <c:pt idx="68">
                  <c:v>6.8624132455823901</c:v>
                </c:pt>
                <c:pt idx="69">
                  <c:v>6.9709776586111554</c:v>
                </c:pt>
                <c:pt idx="70">
                  <c:v>7.0791337004105168</c:v>
                </c:pt>
                <c:pt idx="71">
                  <c:v>7.1868543705101668</c:v>
                </c:pt>
                <c:pt idx="72">
                  <c:v>7.2941126684398014</c:v>
                </c:pt>
                <c:pt idx="73">
                  <c:v>7.4008815937291121</c:v>
                </c:pt>
                <c:pt idx="74">
                  <c:v>7.5071341459077949</c:v>
                </c:pt>
                <c:pt idx="75">
                  <c:v>7.6128433245055431</c:v>
                </c:pt>
                <c:pt idx="76">
                  <c:v>7.7179821290520483</c:v>
                </c:pt>
                <c:pt idx="77">
                  <c:v>7.822523559077009</c:v>
                </c:pt>
                <c:pt idx="78">
                  <c:v>7.9264406141101142</c:v>
                </c:pt>
                <c:pt idx="79">
                  <c:v>8.0297062936810608</c:v>
                </c:pt>
                <c:pt idx="80">
                  <c:v>8.132293597319542</c:v>
                </c:pt>
                <c:pt idx="81">
                  <c:v>8.2341755245552513</c:v>
                </c:pt>
                <c:pt idx="82">
                  <c:v>8.3353250749178827</c:v>
                </c:pt>
                <c:pt idx="83">
                  <c:v>8.4357152479371305</c:v>
                </c:pt>
                <c:pt idx="84">
                  <c:v>8.5353190431426906</c:v>
                </c:pt>
                <c:pt idx="85">
                  <c:v>8.6341094600642521</c:v>
                </c:pt>
                <c:pt idx="86">
                  <c:v>8.7320594982315107</c:v>
                </c:pt>
                <c:pt idx="87">
                  <c:v>8.8291421571741626</c:v>
                </c:pt>
                <c:pt idx="88">
                  <c:v>8.9253304364219002</c:v>
                </c:pt>
                <c:pt idx="89">
                  <c:v>9.0205973355044176</c:v>
                </c:pt>
                <c:pt idx="90">
                  <c:v>9.114915853951409</c:v>
                </c:pt>
                <c:pt idx="91">
                  <c:v>9.2082589912925652</c:v>
                </c:pt>
                <c:pt idx="92">
                  <c:v>9.3005997470575839</c:v>
                </c:pt>
                <c:pt idx="93">
                  <c:v>9.3919111207761574</c:v>
                </c:pt>
                <c:pt idx="94">
                  <c:v>9.4821661119779819</c:v>
                </c:pt>
                <c:pt idx="95">
                  <c:v>9.5713377201927461</c:v>
                </c:pt>
                <c:pt idx="96">
                  <c:v>9.6593989449501496</c:v>
                </c:pt>
                <c:pt idx="97">
                  <c:v>9.7463227857798831</c:v>
                </c:pt>
                <c:pt idx="98">
                  <c:v>9.8320822422116407</c:v>
                </c:pt>
                <c:pt idx="99">
                  <c:v>9.9166503137751167</c:v>
                </c:pt>
                <c:pt idx="100">
                  <c:v>10.000000000000005</c:v>
                </c:pt>
              </c:numCache>
            </c:numRef>
          </c:xVal>
          <c:yVal>
            <c:numRef>
              <c:f>'Bezier Curves'!$C$16:$C$1016</c:f>
              <c:numCache>
                <c:formatCode>General</c:formatCode>
                <c:ptCount val="1001"/>
                <c:pt idx="0">
                  <c:v>0</c:v>
                </c:pt>
                <c:pt idx="1">
                  <c:v>0.15107551503011177</c:v>
                </c:pt>
                <c:pt idx="2">
                  <c:v>0.29443988100390556</c:v>
                </c:pt>
                <c:pt idx="3">
                  <c:v>0.43023572399637067</c:v>
                </c:pt>
                <c:pt idx="4">
                  <c:v>0.5586056700824964</c:v>
                </c:pt>
                <c:pt idx="5">
                  <c:v>0.67969234533727185</c:v>
                </c:pt>
                <c:pt idx="6">
                  <c:v>0.79363837583568653</c:v>
                </c:pt>
                <c:pt idx="7">
                  <c:v>0.90058638765272936</c:v>
                </c:pt>
                <c:pt idx="8">
                  <c:v>1.0006790068633897</c:v>
                </c:pt>
                <c:pt idx="9">
                  <c:v>1.094058859542657</c:v>
                </c:pt>
                <c:pt idx="10">
                  <c:v>1.1808685717655205</c:v>
                </c:pt>
                <c:pt idx="11">
                  <c:v>1.261250769606969</c:v>
                </c:pt>
                <c:pt idx="12">
                  <c:v>1.3353480791419925</c:v>
                </c:pt>
                <c:pt idx="13">
                  <c:v>1.4033031264455798</c:v>
                </c:pt>
                <c:pt idx="14">
                  <c:v>1.4652585375927201</c:v>
                </c:pt>
                <c:pt idx="15">
                  <c:v>1.5213569386584027</c:v>
                </c:pt>
                <c:pt idx="16">
                  <c:v>1.5717409557176172</c:v>
                </c:pt>
                <c:pt idx="17">
                  <c:v>1.6165532148453525</c:v>
                </c:pt>
                <c:pt idx="18">
                  <c:v>1.6559363421165978</c:v>
                </c:pt>
                <c:pt idx="19">
                  <c:v>1.6900329636063427</c:v>
                </c:pt>
                <c:pt idx="20">
                  <c:v>1.7189857053895763</c:v>
                </c:pt>
                <c:pt idx="21">
                  <c:v>1.7429371935412874</c:v>
                </c:pt>
                <c:pt idx="22">
                  <c:v>1.7620300541364657</c:v>
                </c:pt>
                <c:pt idx="23">
                  <c:v>1.776406913250101</c:v>
                </c:pt>
                <c:pt idx="24">
                  <c:v>1.7862103969571816</c:v>
                </c:pt>
                <c:pt idx="25">
                  <c:v>1.7915831313326973</c:v>
                </c:pt>
                <c:pt idx="26">
                  <c:v>1.7926677424516373</c:v>
                </c:pt>
                <c:pt idx="27">
                  <c:v>1.7896068563889904</c:v>
                </c:pt>
                <c:pt idx="28">
                  <c:v>1.7825430992197462</c:v>
                </c:pt>
                <c:pt idx="29">
                  <c:v>1.7716190970188945</c:v>
                </c:pt>
                <c:pt idx="30">
                  <c:v>1.7569774758614234</c:v>
                </c:pt>
                <c:pt idx="31">
                  <c:v>1.7387608618223225</c:v>
                </c:pt>
                <c:pt idx="32">
                  <c:v>1.717111880976582</c:v>
                </c:pt>
                <c:pt idx="33">
                  <c:v>1.6921731593991902</c:v>
                </c:pt>
                <c:pt idx="34">
                  <c:v>1.6640873231651363</c:v>
                </c:pt>
                <c:pt idx="35">
                  <c:v>1.6329969983494106</c:v>
                </c:pt>
                <c:pt idx="36">
                  <c:v>1.599044811027001</c:v>
                </c:pt>
                <c:pt idx="37">
                  <c:v>1.5623733872728975</c:v>
                </c:pt>
                <c:pt idx="38">
                  <c:v>1.5231253531620896</c:v>
                </c:pt>
                <c:pt idx="39">
                  <c:v>1.4814433347695661</c:v>
                </c:pt>
                <c:pt idx="40">
                  <c:v>1.4374699581703165</c:v>
                </c:pt>
                <c:pt idx="41">
                  <c:v>1.3913478494393297</c:v>
                </c:pt>
                <c:pt idx="42">
                  <c:v>1.343219634651595</c:v>
                </c:pt>
                <c:pt idx="43">
                  <c:v>1.2932279398821023</c:v>
                </c:pt>
                <c:pt idx="44">
                  <c:v>1.2415153912058403</c:v>
                </c:pt>
                <c:pt idx="45">
                  <c:v>1.1882246146977984</c:v>
                </c:pt>
                <c:pt idx="46">
                  <c:v>1.1334982364329651</c:v>
                </c:pt>
                <c:pt idx="47">
                  <c:v>1.0774788824863315</c:v>
                </c:pt>
                <c:pt idx="48">
                  <c:v>1.0203091789328851</c:v>
                </c:pt>
                <c:pt idx="49">
                  <c:v>0.96213175184761535</c:v>
                </c:pt>
                <c:pt idx="50">
                  <c:v>0.90308922730551244</c:v>
                </c:pt>
                <c:pt idx="51">
                  <c:v>0.8433242313815652</c:v>
                </c:pt>
                <c:pt idx="52">
                  <c:v>0.78297939015076246</c:v>
                </c:pt>
                <c:pt idx="53">
                  <c:v>0.72219732968809436</c:v>
                </c:pt>
                <c:pt idx="54">
                  <c:v>0.66112067606854885</c:v>
                </c:pt>
                <c:pt idx="55">
                  <c:v>0.59989205536711698</c:v>
                </c:pt>
                <c:pt idx="56">
                  <c:v>0.53865409365878603</c:v>
                </c:pt>
                <c:pt idx="57">
                  <c:v>0.47754941701854681</c:v>
                </c:pt>
                <c:pt idx="58">
                  <c:v>0.41672065152138749</c:v>
                </c:pt>
                <c:pt idx="59">
                  <c:v>0.35631042324229822</c:v>
                </c:pt>
                <c:pt idx="60">
                  <c:v>0.29646135825626763</c:v>
                </c:pt>
                <c:pt idx="61">
                  <c:v>0.23731608263828563</c:v>
                </c:pt>
                <c:pt idx="62">
                  <c:v>0.1790172224633404</c:v>
                </c:pt>
                <c:pt idx="63">
                  <c:v>0.12170740380642209</c:v>
                </c:pt>
                <c:pt idx="64">
                  <c:v>6.5529252742519528E-2</c:v>
                </c:pt>
                <c:pt idx="65">
                  <c:v>1.0625395346622435E-2</c:v>
                </c:pt>
                <c:pt idx="66">
                  <c:v>-4.2861542306280143E-2</c:v>
                </c:pt>
                <c:pt idx="67">
                  <c:v>-9.4788934141199599E-2</c:v>
                </c:pt>
                <c:pt idx="68">
                  <c:v>-0.14501415408314533</c:v>
                </c:pt>
                <c:pt idx="69">
                  <c:v>-0.19339457605712917</c:v>
                </c:pt>
                <c:pt idx="70">
                  <c:v>-0.23978757398816175</c:v>
                </c:pt>
                <c:pt idx="71">
                  <c:v>-0.28405052180125356</c:v>
                </c:pt>
                <c:pt idx="72">
                  <c:v>-0.32604079342141512</c:v>
                </c:pt>
                <c:pt idx="73">
                  <c:v>-0.3656157627736577</c:v>
                </c:pt>
                <c:pt idx="74">
                  <c:v>-0.40263280378299182</c:v>
                </c:pt>
                <c:pt idx="75">
                  <c:v>-0.43694929037442809</c:v>
                </c:pt>
                <c:pt idx="76">
                  <c:v>-0.46842259647297724</c:v>
                </c:pt>
                <c:pt idx="77">
                  <c:v>-0.49691009600365055</c:v>
                </c:pt>
                <c:pt idx="78">
                  <c:v>-0.52226916289145786</c:v>
                </c:pt>
                <c:pt idx="79">
                  <c:v>-0.54435717106141068</c:v>
                </c:pt>
                <c:pt idx="80">
                  <c:v>-0.5630314944385193</c:v>
                </c:pt>
                <c:pt idx="81">
                  <c:v>-0.57814950694779477</c:v>
                </c:pt>
                <c:pt idx="82">
                  <c:v>-0.5895685825142476</c:v>
                </c:pt>
                <c:pt idx="83">
                  <c:v>-0.59714609506288885</c:v>
                </c:pt>
                <c:pt idx="84">
                  <c:v>-0.60073941851872914</c:v>
                </c:pt>
                <c:pt idx="85">
                  <c:v>-0.60020592680677876</c:v>
                </c:pt>
                <c:pt idx="86">
                  <c:v>-0.59540299385204909</c:v>
                </c:pt>
                <c:pt idx="87">
                  <c:v>-0.58618799357955043</c:v>
                </c:pt>
                <c:pt idx="88">
                  <c:v>-0.57241829991429372</c:v>
                </c:pt>
                <c:pt idx="89">
                  <c:v>-0.5539512867812898</c:v>
                </c:pt>
                <c:pt idx="90">
                  <c:v>-0.53064432810554918</c:v>
                </c:pt>
                <c:pt idx="91">
                  <c:v>-0.50235479781208281</c:v>
                </c:pt>
                <c:pt idx="92">
                  <c:v>-0.46894006982590108</c:v>
                </c:pt>
                <c:pt idx="93">
                  <c:v>-0.43025751807201518</c:v>
                </c:pt>
                <c:pt idx="94">
                  <c:v>-0.38616451647543576</c:v>
                </c:pt>
                <c:pt idx="95">
                  <c:v>-0.33651843896117334</c:v>
                </c:pt>
                <c:pt idx="96">
                  <c:v>-0.28117665945423886</c:v>
                </c:pt>
                <c:pt idx="97">
                  <c:v>-0.21999655187964301</c:v>
                </c:pt>
                <c:pt idx="98">
                  <c:v>-0.15283549016239648</c:v>
                </c:pt>
                <c:pt idx="99">
                  <c:v>-7.9550848227510046E-2</c:v>
                </c:pt>
                <c:pt idx="100">
                  <c:v>5.5110245299800648E-15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FF-4C2B-8ACB-26543044B35B}"/>
            </c:ext>
          </c:extLst>
        </c:ser>
        <c:ser>
          <c:idx val="3"/>
          <c:order val="3"/>
          <c:tx>
            <c:v>Bezier Bounds</c:v>
          </c:tx>
          <c:xVal>
            <c:numRef>
              <c:f>'Bezier Curves'!$H$16:$H$19</c:f>
              <c:numCache>
                <c:formatCode>General</c:formatCode>
                <c:ptCount val="4"/>
                <c:pt idx="0">
                  <c:v>0</c:v>
                </c:pt>
                <c:pt idx="1">
                  <c:v>2.4089240919219868</c:v>
                </c:pt>
                <c:pt idx="2">
                  <c:v>7.2422835533724648</c:v>
                </c:pt>
                <c:pt idx="3">
                  <c:v>10</c:v>
                </c:pt>
              </c:numCache>
            </c:numRef>
          </c:xVal>
          <c:yVal>
            <c:numRef>
              <c:f>'Bezier Curves'!$I$16:$I$19</c:f>
              <c:numCache>
                <c:formatCode>General</c:formatCode>
                <c:ptCount val="4"/>
                <c:pt idx="0">
                  <c:v>0</c:v>
                </c:pt>
                <c:pt idx="1">
                  <c:v>5.165954386108905</c:v>
                </c:pt>
                <c:pt idx="2">
                  <c:v>-2.7577164466275352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FF-4C2B-8ACB-26543044B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42080"/>
        <c:axId val="178540544"/>
      </c:scatterChart>
      <c:valAx>
        <c:axId val="178542080"/>
        <c:scaling>
          <c:orientation val="minMax"/>
          <c:max val="11"/>
          <c:min val="-1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78540544"/>
        <c:crosses val="autoZero"/>
        <c:crossBetween val="midCat"/>
        <c:majorUnit val="1"/>
      </c:valAx>
      <c:valAx>
        <c:axId val="178540544"/>
        <c:scaling>
          <c:orientation val="minMax"/>
          <c:max val="6"/>
          <c:min val="-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542080"/>
        <c:crosses val="autoZero"/>
        <c:crossBetween val="midCat"/>
        <c:majorUnit val="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592231</xdr:colOff>
      <xdr:row>0</xdr:row>
      <xdr:rowOff>50986</xdr:rowOff>
    </xdr:from>
    <xdr:to>
      <xdr:col>25</xdr:col>
      <xdr:colOff>305605</xdr:colOff>
      <xdr:row>27</xdr:row>
      <xdr:rowOff>60511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</xdr:row>
          <xdr:rowOff>15240</xdr:rowOff>
        </xdr:from>
        <xdr:to>
          <xdr:col>3</xdr:col>
          <xdr:colOff>457200</xdr:colOff>
          <xdr:row>1</xdr:row>
          <xdr:rowOff>160020</xdr:rowOff>
        </xdr:to>
        <xdr:sp macro="" textlink="">
          <xdr:nvSpPr>
            <xdr:cNvPr id="15361" name="SpinButtonTheta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3</xdr:row>
          <xdr:rowOff>30480</xdr:rowOff>
        </xdr:from>
        <xdr:to>
          <xdr:col>3</xdr:col>
          <xdr:colOff>556260</xdr:colOff>
          <xdr:row>4</xdr:row>
          <xdr:rowOff>15240</xdr:rowOff>
        </xdr:to>
        <xdr:sp macro="" textlink="">
          <xdr:nvSpPr>
            <xdr:cNvPr id="15362" name="SpinButtonTheta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</xdr:row>
          <xdr:rowOff>30480</xdr:rowOff>
        </xdr:from>
        <xdr:to>
          <xdr:col>3</xdr:col>
          <xdr:colOff>556260</xdr:colOff>
          <xdr:row>3</xdr:row>
          <xdr:rowOff>15240</xdr:rowOff>
        </xdr:to>
        <xdr:sp macro="" textlink="">
          <xdr:nvSpPr>
            <xdr:cNvPr id="15363" name="SpinButtonRadius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4</xdr:row>
          <xdr:rowOff>15240</xdr:rowOff>
        </xdr:from>
        <xdr:to>
          <xdr:col>3</xdr:col>
          <xdr:colOff>556260</xdr:colOff>
          <xdr:row>5</xdr:row>
          <xdr:rowOff>0</xdr:rowOff>
        </xdr:to>
        <xdr:sp macro="" textlink="">
          <xdr:nvSpPr>
            <xdr:cNvPr id="15364" name="SpinButtonRadius2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ub/personal/MPT.Net/MPT/SE/PMM%20Concrete%20Rect%20(Equivalent%20Eccentricity%20Method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tic"/>
      <sheetName val="Bar Definition"/>
      <sheetName val="Section Definition"/>
      <sheetName val="PM Calc"/>
      <sheetName val="PM Diagram Data"/>
      <sheetName val="PM Chart"/>
      <sheetName val="PM Chart Codes"/>
      <sheetName val="PM Chart Tied"/>
      <sheetName val="PM Chart Spiral"/>
      <sheetName val="Shapes Coords"/>
      <sheetName val="Shape Calcs (Hollow)"/>
      <sheetName val="Shape Slice Calcs"/>
      <sheetName val="Curved Areas Calcs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/>
      <sheetData sheetId="10">
        <row r="3">
          <cell r="N3" t="str">
            <v>Square</v>
          </cell>
          <cell r="O3" t="str">
            <v>Triangle</v>
          </cell>
          <cell r="P3" t="str">
            <v>Triangle</v>
          </cell>
          <cell r="Q3" t="str">
            <v>Triangle</v>
          </cell>
        </row>
        <row r="4">
          <cell r="N4" t="str">
            <v>Square Offset X-Y</v>
          </cell>
          <cell r="O4" t="str">
            <v>Hexagon</v>
          </cell>
          <cell r="P4" t="str">
            <v>Hexagon</v>
          </cell>
          <cell r="Q4" t="str">
            <v>Hexagon</v>
          </cell>
        </row>
        <row r="5">
          <cell r="N5" t="str">
            <v>Rectangle Offset X-Y</v>
          </cell>
          <cell r="O5" t="str">
            <v>I-Beam</v>
          </cell>
          <cell r="P5" t="str">
            <v>I-Beam</v>
          </cell>
          <cell r="Q5" t="str">
            <v>I-Beam</v>
          </cell>
        </row>
        <row r="6">
          <cell r="N6" t="str">
            <v>Trapezoid</v>
          </cell>
          <cell r="O6" t="str">
            <v>Tee</v>
          </cell>
          <cell r="P6" t="str">
            <v>Tee</v>
          </cell>
          <cell r="Q6" t="str">
            <v>Tee</v>
          </cell>
        </row>
        <row r="7">
          <cell r="N7" t="str">
            <v>Parallelogram</v>
          </cell>
          <cell r="O7" t="str">
            <v>Angle</v>
          </cell>
          <cell r="P7" t="str">
            <v>Angle</v>
          </cell>
          <cell r="Q7" t="str">
            <v>Angle</v>
          </cell>
        </row>
        <row r="8">
          <cell r="N8" t="str">
            <v>Quadrilateral</v>
          </cell>
          <cell r="O8" t="str">
            <v>Channel</v>
          </cell>
          <cell r="P8" t="str">
            <v>Channel</v>
          </cell>
          <cell r="Q8" t="str">
            <v>Channel</v>
          </cell>
        </row>
        <row r="9">
          <cell r="N9" t="str">
            <v>Triangle</v>
          </cell>
          <cell r="O9" t="str">
            <v>Circle (Coarse)</v>
          </cell>
          <cell r="P9" t="str">
            <v>Circle (Coarse)</v>
          </cell>
          <cell r="Q9" t="str">
            <v>SemiCircle</v>
          </cell>
        </row>
        <row r="10">
          <cell r="N10" t="str">
            <v>Hexagon</v>
          </cell>
          <cell r="O10" t="str">
            <v>Circle (Fine)</v>
          </cell>
          <cell r="P10" t="str">
            <v>Circle (Fine)</v>
          </cell>
          <cell r="Q10" t="str">
            <v>Quarter Circle</v>
          </cell>
        </row>
        <row r="11">
          <cell r="N11" t="str">
            <v>I-Beam</v>
          </cell>
          <cell r="O11" t="str">
            <v>SemiCircle</v>
          </cell>
          <cell r="P11" t="str">
            <v>SemiCircle</v>
          </cell>
          <cell r="Q11" t="str">
            <v>Circle Sector</v>
          </cell>
        </row>
        <row r="12">
          <cell r="N12" t="str">
            <v>Tee</v>
          </cell>
          <cell r="O12" t="str">
            <v>Quarter Circle</v>
          </cell>
          <cell r="P12" t="str">
            <v>Quarter Circle</v>
          </cell>
        </row>
        <row r="13">
          <cell r="N13" t="str">
            <v>Angle</v>
          </cell>
          <cell r="O13" t="str">
            <v>Circle Sector</v>
          </cell>
          <cell r="P13" t="str">
            <v>Circle Sector</v>
          </cell>
        </row>
        <row r="14">
          <cell r="N14" t="str">
            <v>Channel</v>
          </cell>
        </row>
        <row r="15">
          <cell r="J15" t="str">
            <v>Circle Sector</v>
          </cell>
          <cell r="N15" t="str">
            <v>Circle (Coarse)</v>
          </cell>
        </row>
        <row r="16">
          <cell r="N16" t="str">
            <v>Circle (Fine)</v>
          </cell>
        </row>
        <row r="17">
          <cell r="J17" t="str">
            <v>Graphed - Original</v>
          </cell>
          <cell r="N17" t="str">
            <v>SemiCircle</v>
          </cell>
        </row>
        <row r="18">
          <cell r="N18" t="str">
            <v>Quarter Circle</v>
          </cell>
        </row>
        <row r="19">
          <cell r="N19" t="str">
            <v>Circle Sector</v>
          </cell>
        </row>
        <row r="20">
          <cell r="N20" t="str">
            <v>Pipe</v>
          </cell>
        </row>
        <row r="21">
          <cell r="N21" t="str">
            <v>Tube</v>
          </cell>
        </row>
      </sheetData>
      <sheetData sheetId="11"/>
      <sheetData sheetId="12">
        <row r="9">
          <cell r="C9">
            <v>-0.49678773366165141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7D384-0C7C-40C4-9B8C-466473A6AF3F}">
  <sheetPr codeName="Sheet1"/>
  <dimension ref="A1:F12"/>
  <sheetViews>
    <sheetView workbookViewId="0">
      <selection activeCell="C36" sqref="C36"/>
    </sheetView>
  </sheetViews>
  <sheetFormatPr defaultRowHeight="14.4" x14ac:dyDescent="0.3"/>
  <cols>
    <col min="2" max="2" width="7.21875" bestFit="1" customWidth="1"/>
    <col min="3" max="3" width="29" bestFit="1" customWidth="1"/>
  </cols>
  <sheetData>
    <row r="1" spans="1:6" s="2" customFormat="1" x14ac:dyDescent="0.3">
      <c r="A1" s="2" t="s">
        <v>0</v>
      </c>
    </row>
    <row r="2" spans="1:6" s="3" customFormat="1" x14ac:dyDescent="0.3">
      <c r="A2" s="4" t="s">
        <v>1</v>
      </c>
      <c r="B2" s="4" t="s">
        <v>3</v>
      </c>
      <c r="C2" s="4" t="s">
        <v>4</v>
      </c>
      <c r="D2" s="4" t="s">
        <v>2</v>
      </c>
      <c r="E2" s="4" t="s">
        <v>3</v>
      </c>
      <c r="F2" s="4" t="s">
        <v>4</v>
      </c>
    </row>
    <row r="3" spans="1:6" x14ac:dyDescent="0.3">
      <c r="A3">
        <v>-9</v>
      </c>
      <c r="B3" s="5">
        <f t="shared" ref="B3:B12" si="0">A3^(1/3)</f>
        <v>-2.0800838230519041</v>
      </c>
      <c r="C3" t="str">
        <f>"[TestCase("&amp;A3&amp;", "&amp;ROUND(B3,4)&amp;")]"</f>
        <v>[TestCase(-9, -2.0801)]</v>
      </c>
      <c r="D3">
        <v>-9.9</v>
      </c>
      <c r="E3" s="5">
        <f>D3^(1/3)</f>
        <v>-2.1472291690189413</v>
      </c>
      <c r="F3" t="str">
        <f>"[TestCase("&amp;D3&amp;", "&amp;ROUND(E3,4)&amp;")]"</f>
        <v>[TestCase(-9.9, -2.1472)]</v>
      </c>
    </row>
    <row r="4" spans="1:6" x14ac:dyDescent="0.3">
      <c r="A4">
        <v>-3</v>
      </c>
      <c r="B4" s="5">
        <f t="shared" si="0"/>
        <v>-1.4422495703074083</v>
      </c>
      <c r="C4" t="str">
        <f t="shared" ref="C4:C12" si="1">"[TestCase("&amp;A4&amp;", "&amp;ROUND(B4,4)&amp;")]"</f>
        <v>[TestCase(-3, -1.4422)]</v>
      </c>
      <c r="D4">
        <v>0</v>
      </c>
      <c r="E4" s="5">
        <f>D4^(1/3)</f>
        <v>0</v>
      </c>
      <c r="F4" t="str">
        <f>"[TestCase("&amp;D4&amp;", "&amp;ROUND(E4,4)&amp;")]"</f>
        <v>[TestCase(0, 0)]</v>
      </c>
    </row>
    <row r="5" spans="1:6" x14ac:dyDescent="0.3">
      <c r="A5">
        <v>-1</v>
      </c>
      <c r="B5" s="5">
        <f t="shared" si="0"/>
        <v>-1</v>
      </c>
      <c r="C5" t="str">
        <f t="shared" si="1"/>
        <v>[TestCase(-1, -1)]</v>
      </c>
      <c r="D5">
        <v>9.9</v>
      </c>
      <c r="E5" s="5">
        <f>D5^(1/3)</f>
        <v>2.1472291690189413</v>
      </c>
      <c r="F5" t="str">
        <f>"[TestCase("&amp;D5&amp;", "&amp;ROUND(E5,4)&amp;")]"</f>
        <v>[TestCase(9.9, 2.1472)]</v>
      </c>
    </row>
    <row r="6" spans="1:6" x14ac:dyDescent="0.3">
      <c r="A6">
        <v>0</v>
      </c>
      <c r="B6" s="5">
        <f t="shared" si="0"/>
        <v>0</v>
      </c>
      <c r="C6" t="str">
        <f t="shared" si="1"/>
        <v>[TestCase(0, 0)]</v>
      </c>
    </row>
    <row r="7" spans="1:6" x14ac:dyDescent="0.3">
      <c r="A7">
        <v>1</v>
      </c>
      <c r="B7" s="5">
        <f t="shared" si="0"/>
        <v>1</v>
      </c>
      <c r="C7" t="str">
        <f t="shared" si="1"/>
        <v>[TestCase(1, 1)]</v>
      </c>
    </row>
    <row r="8" spans="1:6" x14ac:dyDescent="0.3">
      <c r="A8">
        <v>3</v>
      </c>
      <c r="B8" s="5">
        <f t="shared" si="0"/>
        <v>1.4422495703074083</v>
      </c>
      <c r="C8" t="str">
        <f t="shared" si="1"/>
        <v>[TestCase(3, 1.4422)]</v>
      </c>
    </row>
    <row r="9" spans="1:6" x14ac:dyDescent="0.3">
      <c r="A9">
        <v>8</v>
      </c>
      <c r="B9" s="5">
        <f t="shared" si="0"/>
        <v>1.9999999999999998</v>
      </c>
      <c r="C9" t="str">
        <f t="shared" si="1"/>
        <v>[TestCase(8, 2)]</v>
      </c>
    </row>
    <row r="10" spans="1:6" x14ac:dyDescent="0.3">
      <c r="A10">
        <v>9</v>
      </c>
      <c r="B10" s="5">
        <f t="shared" si="0"/>
        <v>2.0800838230519041</v>
      </c>
      <c r="C10" t="str">
        <f t="shared" si="1"/>
        <v>[TestCase(9, 2.0801)]</v>
      </c>
    </row>
    <row r="11" spans="1:6" x14ac:dyDescent="0.3">
      <c r="A11">
        <v>15</v>
      </c>
      <c r="B11" s="5">
        <f t="shared" si="0"/>
        <v>2.4662120743304703</v>
      </c>
      <c r="C11" t="str">
        <f t="shared" si="1"/>
        <v>[TestCase(15, 2.4662)]</v>
      </c>
    </row>
    <row r="12" spans="1:6" x14ac:dyDescent="0.3">
      <c r="A12">
        <v>27</v>
      </c>
      <c r="B12" s="5">
        <f t="shared" si="0"/>
        <v>2.9999999999999996</v>
      </c>
      <c r="C12" t="str">
        <f t="shared" si="1"/>
        <v>[TestCase(27, 3)]</v>
      </c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26"/>
  <sheetViews>
    <sheetView topLeftCell="A7" workbookViewId="0">
      <selection activeCell="H31" sqref="H31"/>
    </sheetView>
  </sheetViews>
  <sheetFormatPr defaultRowHeight="14.4" x14ac:dyDescent="0.3"/>
  <cols>
    <col min="3" max="3" width="10.5546875" bestFit="1" customWidth="1"/>
    <col min="4" max="4" width="12.21875" bestFit="1" customWidth="1"/>
    <col min="6" max="6" width="9.5546875" bestFit="1" customWidth="1"/>
    <col min="8" max="8" width="13" customWidth="1"/>
    <col min="9" max="9" width="14.33203125" bestFit="1" customWidth="1"/>
    <col min="10" max="10" width="12" bestFit="1" customWidth="1"/>
    <col min="12" max="12" width="10.6640625" bestFit="1" customWidth="1"/>
    <col min="13" max="13" width="12.6640625" bestFit="1" customWidth="1"/>
  </cols>
  <sheetData>
    <row r="1" spans="1:14" s="2" customFormat="1" x14ac:dyDescent="0.3">
      <c r="A1" s="2" t="s">
        <v>152</v>
      </c>
    </row>
    <row r="2" spans="1:14" x14ac:dyDescent="0.3">
      <c r="A2" s="6" t="s">
        <v>153</v>
      </c>
      <c r="B2" s="6" t="s">
        <v>154</v>
      </c>
      <c r="C2" s="6" t="s">
        <v>155</v>
      </c>
      <c r="D2" s="6" t="s">
        <v>156</v>
      </c>
      <c r="E2" s="6" t="s">
        <v>157</v>
      </c>
    </row>
    <row r="3" spans="1:14" x14ac:dyDescent="0.3">
      <c r="A3">
        <v>0</v>
      </c>
      <c r="B3">
        <v>0</v>
      </c>
      <c r="C3">
        <v>0</v>
      </c>
      <c r="D3" t="e">
        <f t="shared" ref="D3:D8" si="0">-B3/(2*A3)+(SQRT(B3^2-4*A3*C3)/(2*A3))</f>
        <v>#DIV/0!</v>
      </c>
      <c r="E3" t="e">
        <f t="shared" ref="E3:E8" si="1">-B3/(2*A3)-(SQRT(B3^2-4*A3*C3)/(2*A3))</f>
        <v>#DIV/0!</v>
      </c>
    </row>
    <row r="4" spans="1:14" x14ac:dyDescent="0.3">
      <c r="A4">
        <v>0</v>
      </c>
      <c r="B4">
        <v>6</v>
      </c>
      <c r="C4">
        <v>1</v>
      </c>
      <c r="D4" t="e">
        <f t="shared" si="0"/>
        <v>#DIV/0!</v>
      </c>
      <c r="E4" t="e">
        <f t="shared" si="1"/>
        <v>#DIV/0!</v>
      </c>
      <c r="F4" s="1" t="s">
        <v>158</v>
      </c>
    </row>
    <row r="5" spans="1:14" x14ac:dyDescent="0.3">
      <c r="A5">
        <v>1</v>
      </c>
      <c r="B5">
        <v>1</v>
      </c>
      <c r="C5">
        <v>1</v>
      </c>
      <c r="D5" t="e">
        <f t="shared" si="0"/>
        <v>#NUM!</v>
      </c>
      <c r="E5" t="e">
        <f t="shared" si="1"/>
        <v>#NUM!</v>
      </c>
      <c r="F5" t="s">
        <v>159</v>
      </c>
    </row>
    <row r="6" spans="1:14" x14ac:dyDescent="0.3">
      <c r="A6">
        <v>1</v>
      </c>
      <c r="B6">
        <v>6</v>
      </c>
      <c r="C6">
        <v>3</v>
      </c>
      <c r="D6">
        <f t="shared" si="0"/>
        <v>-0.55051025721682212</v>
      </c>
      <c r="E6">
        <f t="shared" si="1"/>
        <v>-5.4494897427831779</v>
      </c>
      <c r="H6" t="str">
        <f>"[TestCase("&amp;A6&amp;", "&amp;B6&amp;", "&amp;C6&amp;", "&amp;ROUND(D6,6)&amp;", "&amp;ROUND(E6,6)&amp;")]"</f>
        <v>[TestCase(1, 6, 3, -0.55051, -5.44949)]</v>
      </c>
    </row>
    <row r="7" spans="1:14" x14ac:dyDescent="0.3">
      <c r="A7">
        <v>1</v>
      </c>
      <c r="B7">
        <v>-6</v>
      </c>
      <c r="C7">
        <v>3</v>
      </c>
      <c r="D7">
        <f t="shared" si="0"/>
        <v>5.4494897427831779</v>
      </c>
      <c r="E7">
        <f t="shared" si="1"/>
        <v>0.55051025721682212</v>
      </c>
      <c r="H7" t="str">
        <f t="shared" ref="H7:H8" si="2">"[TestCase("&amp;A7&amp;", "&amp;B7&amp;", "&amp;C7&amp;", "&amp;ROUND(D7,6)&amp;", "&amp;ROUND(E7,6)&amp;")]"</f>
        <v>[TestCase(1, -6, 3, 5.44949, 0.55051)]</v>
      </c>
    </row>
    <row r="8" spans="1:14" x14ac:dyDescent="0.3">
      <c r="A8">
        <v>1</v>
      </c>
      <c r="B8">
        <v>0</v>
      </c>
      <c r="C8">
        <v>0</v>
      </c>
      <c r="D8">
        <f t="shared" si="0"/>
        <v>0</v>
      </c>
      <c r="E8">
        <f t="shared" si="1"/>
        <v>0</v>
      </c>
      <c r="H8" t="str">
        <f t="shared" si="2"/>
        <v>[TestCase(1, 0, 0, 0, 0)]</v>
      </c>
    </row>
    <row r="10" spans="1:14" s="2" customFormat="1" x14ac:dyDescent="0.3">
      <c r="A10" s="2" t="s">
        <v>160</v>
      </c>
      <c r="D10" s="26"/>
    </row>
    <row r="11" spans="1:14" x14ac:dyDescent="0.3">
      <c r="A11" s="6" t="s">
        <v>153</v>
      </c>
      <c r="B11" s="6" t="s">
        <v>154</v>
      </c>
      <c r="C11" s="6" t="s">
        <v>155</v>
      </c>
      <c r="D11" s="6" t="s">
        <v>161</v>
      </c>
      <c r="E11" s="13" t="s">
        <v>162</v>
      </c>
      <c r="F11" s="14" t="s">
        <v>163</v>
      </c>
      <c r="G11" s="14" t="s">
        <v>166</v>
      </c>
      <c r="H11" s="14" t="s">
        <v>165</v>
      </c>
      <c r="I11" s="18" t="s">
        <v>164</v>
      </c>
      <c r="J11" s="6" t="s">
        <v>3</v>
      </c>
    </row>
    <row r="12" spans="1:14" x14ac:dyDescent="0.3">
      <c r="A12">
        <v>0.72250000000000003</v>
      </c>
      <c r="B12">
        <v>-1.7</v>
      </c>
      <c r="C12" s="27">
        <v>284.77208739999998</v>
      </c>
      <c r="D12" s="27">
        <v>-5274.7208069999997</v>
      </c>
      <c r="E12" s="29">
        <f>C12/A12-B12^2/(3*A12^2)</f>
        <v>392.30277379469425</v>
      </c>
      <c r="F12" s="28">
        <f>-(D12/A12+2*B12^3/(27*A12^3)-B12*C12/(3*A12^2))</f>
        <v>6992.4807169158157</v>
      </c>
      <c r="G12" s="3">
        <f>0.5*(-F12+SQRT(F12^2+(4/27)*E12^3))</f>
        <v>306.3697661905112</v>
      </c>
      <c r="H12" s="28">
        <f>(G12)^(1/3)</f>
        <v>6.7413773112295665</v>
      </c>
      <c r="I12" s="30">
        <f>(20+H12^3)^(1/3)</f>
        <v>6.8849898886162215</v>
      </c>
      <c r="J12" s="34">
        <f>(F12+H12^3)^(1/3)-H12-B14/(3*A14)</f>
        <v>13.440692277453405</v>
      </c>
    </row>
    <row r="13" spans="1:14" x14ac:dyDescent="0.3">
      <c r="A13" s="6" t="s">
        <v>153</v>
      </c>
      <c r="B13" s="6" t="s">
        <v>154</v>
      </c>
      <c r="C13" s="6" t="s">
        <v>155</v>
      </c>
      <c r="D13" s="6" t="s">
        <v>161</v>
      </c>
      <c r="E13" s="6" t="s">
        <v>169</v>
      </c>
      <c r="F13" s="6" t="s">
        <v>170</v>
      </c>
      <c r="G13" s="6" t="s">
        <v>171</v>
      </c>
      <c r="H13" s="6" t="s">
        <v>163</v>
      </c>
      <c r="I13" s="6" t="s">
        <v>162</v>
      </c>
      <c r="J13" s="14" t="s">
        <v>166</v>
      </c>
      <c r="K13" s="14" t="s">
        <v>165</v>
      </c>
      <c r="L13" s="6" t="s">
        <v>3</v>
      </c>
    </row>
    <row r="14" spans="1:14" x14ac:dyDescent="0.3">
      <c r="A14">
        <v>0.72250000000000003</v>
      </c>
      <c r="B14">
        <v>-1.7</v>
      </c>
      <c r="C14" s="27">
        <v>284.77208739999998</v>
      </c>
      <c r="D14" s="27">
        <v>-5274.7208069999997</v>
      </c>
      <c r="E14">
        <f>B14/A14</f>
        <v>-2.3529411764705879</v>
      </c>
      <c r="F14">
        <f>C14/A14</f>
        <v>394.1482178546712</v>
      </c>
      <c r="G14">
        <f>D14/A14</f>
        <v>-7300.651635986158</v>
      </c>
      <c r="H14" s="31">
        <f>(1/27)*(9*F14*E14-27*G14-2*E14^3)</f>
        <v>6992.4807169158157</v>
      </c>
      <c r="I14">
        <f>(1/3)*(3*F14-E14^2)</f>
        <v>392.3027737946943</v>
      </c>
      <c r="J14">
        <f>H14^2+(4/27)*I14^3</f>
        <v>57839375.040314659</v>
      </c>
      <c r="K14">
        <f>(0.5*(-H14+SQRT(J14)))^(1/3)</f>
        <v>6.7413773112295665</v>
      </c>
      <c r="L14" s="33">
        <f>(H14+K14^3)^(1/3)-K14-E14/3</f>
        <v>13.440692277453405</v>
      </c>
      <c r="N14" t="str">
        <f>"[TestCase("&amp;ROUND(A14,6)&amp;", "&amp;ROUND(B14,6)&amp;", "&amp;ROUND(C14,6)&amp;", "&amp;ROUND(D14,6)&amp;", "&amp;ROUND(L14,6)&amp;")]"</f>
        <v>[TestCase(0.7225, -1.7, 284.772087, -5274.720807, 13.440692)]</v>
      </c>
    </row>
    <row r="15" spans="1:14" x14ac:dyDescent="0.3">
      <c r="A15">
        <v>0.63700000000000001</v>
      </c>
      <c r="B15">
        <v>-378.60399999999998</v>
      </c>
      <c r="C15">
        <v>59057.623</v>
      </c>
      <c r="D15">
        <v>-1627072.645</v>
      </c>
      <c r="E15">
        <f>B15/A15</f>
        <v>-594.35478806907372</v>
      </c>
      <c r="F15">
        <f>C15/A15</f>
        <v>92712.124018838309</v>
      </c>
      <c r="G15">
        <f>D15/A15</f>
        <v>-2554274.1679748823</v>
      </c>
      <c r="H15" s="35">
        <f t="shared" ref="H15" si="3">(1/27)*(9*F15*E15-27*G15-2*E15^3)</f>
        <v>-261071.93123680353</v>
      </c>
      <c r="I15">
        <f>(1/3)*(3*F15-E15^2)</f>
        <v>-25040.414014706192</v>
      </c>
      <c r="J15" s="2">
        <f>H15^2+(4/27)*I15^3</f>
        <v>-2257900534205.5996</v>
      </c>
      <c r="K15" t="e">
        <f t="shared" ref="K15:K16" si="4">(0.5*(-H15+SQRT(J15)))^(1/3)</f>
        <v>#NUM!</v>
      </c>
      <c r="L15" t="e">
        <f>(H15+K15^3)^(1/3)-K15-E15/3</f>
        <v>#NUM!</v>
      </c>
      <c r="N15" t="s">
        <v>168</v>
      </c>
    </row>
    <row r="16" spans="1:14" x14ac:dyDescent="0.3">
      <c r="A16">
        <v>0.63700000000000001</v>
      </c>
      <c r="B16">
        <v>378.60399999999998</v>
      </c>
      <c r="C16">
        <v>59057.623</v>
      </c>
      <c r="D16">
        <v>1627072.645</v>
      </c>
      <c r="E16">
        <f>B16/A16</f>
        <v>594.35478806907372</v>
      </c>
      <c r="F16">
        <f>C16/A16</f>
        <v>92712.124018838309</v>
      </c>
      <c r="G16">
        <f>D16/A16</f>
        <v>2554274.1679748823</v>
      </c>
      <c r="H16" s="31">
        <f>(1/27)*(9*F16*E16-27*G16-2*E16^3)</f>
        <v>261071.93123680353</v>
      </c>
      <c r="I16">
        <f>(1/3)*(3*F16-E16^2)</f>
        <v>-25040.414014706192</v>
      </c>
      <c r="J16" s="2">
        <f t="shared" ref="J16" si="5">H16^2+(4/27)*I16^3</f>
        <v>-2257900534205.5996</v>
      </c>
      <c r="K16" t="e">
        <f t="shared" si="4"/>
        <v>#NUM!</v>
      </c>
      <c r="L16" t="e">
        <f>(H16+K16^3)^(1/3)-K16-E16/3</f>
        <v>#NUM!</v>
      </c>
      <c r="N16" t="s">
        <v>168</v>
      </c>
    </row>
    <row r="18" spans="1:16" x14ac:dyDescent="0.3">
      <c r="A18" s="6" t="s">
        <v>153</v>
      </c>
      <c r="B18" s="6" t="s">
        <v>154</v>
      </c>
      <c r="C18" s="6" t="s">
        <v>155</v>
      </c>
      <c r="D18" s="6" t="s">
        <v>161</v>
      </c>
      <c r="E18" s="6" t="s">
        <v>169</v>
      </c>
      <c r="F18" s="6" t="s">
        <v>170</v>
      </c>
      <c r="G18" s="6" t="s">
        <v>171</v>
      </c>
      <c r="H18" s="6" t="s">
        <v>163</v>
      </c>
      <c r="I18" s="6" t="s">
        <v>162</v>
      </c>
      <c r="J18" s="14" t="s">
        <v>166</v>
      </c>
      <c r="K18" s="6" t="s">
        <v>172</v>
      </c>
      <c r="L18" s="6" t="s">
        <v>173</v>
      </c>
      <c r="M18" s="6" t="s">
        <v>174</v>
      </c>
      <c r="N18" s="36" t="s">
        <v>177</v>
      </c>
      <c r="O18" s="36" t="s">
        <v>178</v>
      </c>
      <c r="P18" s="36" t="s">
        <v>125</v>
      </c>
    </row>
    <row r="19" spans="1:16" x14ac:dyDescent="0.3">
      <c r="A19">
        <v>0.63673250621051469</v>
      </c>
      <c r="B19">
        <v>-378.60426269086923</v>
      </c>
      <c r="C19">
        <v>59057.623334244614</v>
      </c>
      <c r="D19">
        <v>-1627072.6448583209</v>
      </c>
      <c r="E19">
        <f>B19/A19</f>
        <v>-594.60489137599666</v>
      </c>
      <c r="F19">
        <f>C19/A19</f>
        <v>92751.073265794839</v>
      </c>
      <c r="G19">
        <f>D19/A19</f>
        <v>-2555347.22821326</v>
      </c>
      <c r="H19" s="35">
        <f t="shared" ref="H19" si="6">(1/27)*(9*F19*E19-27*G19-2*E19^3)</f>
        <v>-255806.08250263662</v>
      </c>
      <c r="I19">
        <f>(1/3)*(3*F19-E19^2)</f>
        <v>-25100.585683625424</v>
      </c>
      <c r="J19" s="2">
        <f>H19^2+(4/27)*I19^3</f>
        <v>-2277431097851.3306</v>
      </c>
      <c r="K19">
        <f>(3*F19-E19^2)/9</f>
        <v>-8366.8618945418075</v>
      </c>
      <c r="L19">
        <f>(9*E19*F19-27*G19-2*E19^3)/54</f>
        <v>-127903.04125131833</v>
      </c>
      <c r="M19">
        <f>K19^3+L19^2</f>
        <v>-569357774462.83252</v>
      </c>
      <c r="N19" t="e">
        <f>(L19+SQRT(M19))^3</f>
        <v>#NUM!</v>
      </c>
      <c r="O19" t="e">
        <f>(L19-SQRT(M19))^3</f>
        <v>#NUM!</v>
      </c>
      <c r="P19" t="e">
        <f>N19+O19-E19/3</f>
        <v>#NUM!</v>
      </c>
    </row>
    <row r="20" spans="1:16" x14ac:dyDescent="0.3">
      <c r="A20">
        <v>0.63673250621051469</v>
      </c>
      <c r="B20">
        <v>378.60426269086901</v>
      </c>
      <c r="C20">
        <v>59057.623334244614</v>
      </c>
      <c r="D20">
        <v>1627072.64485832</v>
      </c>
      <c r="E20">
        <f>B20/A20</f>
        <v>594.60489137599632</v>
      </c>
      <c r="F20">
        <f>C20/A20</f>
        <v>92751.073265794839</v>
      </c>
      <c r="G20">
        <f>D20/A20</f>
        <v>2555347.2282132586</v>
      </c>
      <c r="H20" s="31">
        <f>(1/27)*(9*F20*E20-27*G20-2*E20^3)</f>
        <v>255806.0825026565</v>
      </c>
      <c r="I20">
        <f>(1/3)*(3*F20-E20^2)</f>
        <v>-25100.585683625286</v>
      </c>
      <c r="J20" s="2">
        <f t="shared" ref="J20" si="7">H20^2+(4/27)*I20^3</f>
        <v>-2277431097851.2817</v>
      </c>
      <c r="K20">
        <f>(3*F20-E20^2)/9</f>
        <v>-8366.861894541762</v>
      </c>
      <c r="L20">
        <f>(9*E20*F20-27*G20-2*E20^3)/54</f>
        <v>127903.04125132605</v>
      </c>
      <c r="M20">
        <f>K20^3+L20^2</f>
        <v>-569357774462.82104</v>
      </c>
      <c r="N20" t="e">
        <f>(L20+SQRT(M20))^3</f>
        <v>#NUM!</v>
      </c>
      <c r="O20" t="e">
        <f>(L20-SQRT(M20))^3</f>
        <v>#NUM!</v>
      </c>
      <c r="P20" t="e">
        <f>N20+O20-E20/3</f>
        <v>#NUM!</v>
      </c>
    </row>
    <row r="21" spans="1:16" x14ac:dyDescent="0.3">
      <c r="A21">
        <v>0.72250000000000003</v>
      </c>
      <c r="B21">
        <v>-1.7</v>
      </c>
      <c r="C21" s="27">
        <v>284.77208739999998</v>
      </c>
      <c r="D21" s="27">
        <v>-5274.7208069999997</v>
      </c>
      <c r="E21">
        <f>B21/A21</f>
        <v>-2.3529411764705879</v>
      </c>
      <c r="F21">
        <f>C21/A21</f>
        <v>394.1482178546712</v>
      </c>
      <c r="G21">
        <f>D21/A21</f>
        <v>-7300.651635986158</v>
      </c>
      <c r="H21" s="31">
        <f>(1/27)*(9*F21*E21-27*G21-2*E21^3)</f>
        <v>6992.4807169158157</v>
      </c>
      <c r="I21">
        <f>(1/3)*(3*F21-E21^2)</f>
        <v>392.3027737946943</v>
      </c>
      <c r="J21" s="37">
        <f t="shared" ref="J21" si="8">H21^2+(4/27)*I21^3</f>
        <v>57839375.040314659</v>
      </c>
      <c r="K21">
        <f>(3*F21-E21^2)/9</f>
        <v>130.7675912648981</v>
      </c>
      <c r="L21">
        <f>(9*E21*F21-27*G21-2*E21^3)/54</f>
        <v>3496.2403584579083</v>
      </c>
      <c r="M21">
        <f>K21^3+L21^2</f>
        <v>14459843.760078667</v>
      </c>
      <c r="N21">
        <f>(L21+SQRT(M21))^3</f>
        <v>388833255671.1106</v>
      </c>
      <c r="O21">
        <f>(L21-SQRT(M21))^3</f>
        <v>-28756611.847019747</v>
      </c>
      <c r="P21">
        <f>N21+O21-E21/3</f>
        <v>388804499060.04785</v>
      </c>
    </row>
    <row r="23" spans="1:16" s="2" customFormat="1" x14ac:dyDescent="0.3">
      <c r="A23" s="2" t="s">
        <v>167</v>
      </c>
    </row>
    <row r="24" spans="1:16" x14ac:dyDescent="0.3">
      <c r="A24" s="6" t="s">
        <v>153</v>
      </c>
      <c r="B24" s="6" t="s">
        <v>154</v>
      </c>
      <c r="C24" s="6" t="s">
        <v>155</v>
      </c>
      <c r="D24" s="6" t="s">
        <v>161</v>
      </c>
      <c r="E24" s="6" t="s">
        <v>169</v>
      </c>
      <c r="F24" s="6" t="s">
        <v>170</v>
      </c>
      <c r="G24" s="6" t="s">
        <v>171</v>
      </c>
      <c r="H24" s="6" t="s">
        <v>172</v>
      </c>
      <c r="I24" s="6" t="s">
        <v>173</v>
      </c>
      <c r="J24" s="6" t="s">
        <v>174</v>
      </c>
      <c r="K24" s="6" t="s">
        <v>175</v>
      </c>
      <c r="L24" s="6" t="s">
        <v>125</v>
      </c>
      <c r="M24" s="6" t="s">
        <v>127</v>
      </c>
      <c r="N24" s="6" t="s">
        <v>176</v>
      </c>
    </row>
    <row r="25" spans="1:16" x14ac:dyDescent="0.3">
      <c r="A25">
        <v>0.72250000000000003</v>
      </c>
      <c r="B25">
        <v>-1.7</v>
      </c>
      <c r="C25" s="27">
        <v>284.77208739999998</v>
      </c>
      <c r="D25" s="27">
        <v>-5274.7208069999997</v>
      </c>
      <c r="E25">
        <f>B25/A25</f>
        <v>-2.3529411764705879</v>
      </c>
      <c r="F25">
        <f>C25/A25</f>
        <v>394.1482178546712</v>
      </c>
      <c r="G25">
        <f>D25/A25</f>
        <v>-7300.651635986158</v>
      </c>
      <c r="H25">
        <f>(3*F25-E25^2)/9</f>
        <v>130.7675912648981</v>
      </c>
      <c r="I25">
        <f>(9*E25*F25-27*G25-2*E25^3)/54</f>
        <v>3496.2403584579083</v>
      </c>
      <c r="J25">
        <f>H25^3+I25^2</f>
        <v>14459843.760078667</v>
      </c>
      <c r="K25" t="e">
        <f>ACOS(I25/SQRT(ABS(-H25^3)))</f>
        <v>#NUM!</v>
      </c>
      <c r="L25" s="32" t="e">
        <f>2*SQRT(ABS(-H25))*COS(K25/3)-E25/3</f>
        <v>#NUM!</v>
      </c>
      <c r="M25" s="32" t="e">
        <f>2*SQRT(ABS(-H25))*COS((K25+2*PI())/3)-E25/3</f>
        <v>#NUM!</v>
      </c>
      <c r="N25" s="32" t="e">
        <f>2*SQRT(ABS(-H25))*COS((K25+4*PI())/3)-E25/3</f>
        <v>#NUM!</v>
      </c>
    </row>
    <row r="26" spans="1:16" x14ac:dyDescent="0.3">
      <c r="A26">
        <v>0.63673250621051469</v>
      </c>
      <c r="B26">
        <v>-378.60426269086923</v>
      </c>
      <c r="C26">
        <v>59057.623334244614</v>
      </c>
      <c r="D26">
        <v>-1627072.6448583209</v>
      </c>
      <c r="E26">
        <f>B26/A26</f>
        <v>-594.60489137599666</v>
      </c>
      <c r="F26" s="31">
        <f>C26/A26</f>
        <v>92751.073265794839</v>
      </c>
      <c r="G26">
        <f>D26/A26</f>
        <v>-2555347.22821326</v>
      </c>
      <c r="H26" s="31">
        <f>(3*F26-E26^2)/9</f>
        <v>-8366.8618945418075</v>
      </c>
      <c r="I26" s="31">
        <f>(9*E26*F26-27*G26-2*E26^3)/54</f>
        <v>-127903.04125131833</v>
      </c>
      <c r="J26">
        <f>H26^3+I26^2</f>
        <v>-569357774462.83252</v>
      </c>
      <c r="K26">
        <f>ACOS(I26/SQRT(ABS(-H26^3)))</f>
        <v>1.7387075223394004</v>
      </c>
      <c r="L26" s="32">
        <f>2*SQRT(ABS(-H26))*COS(K26/3)-E26/3</f>
        <v>351.26820991498209</v>
      </c>
      <c r="M26" s="32">
        <f>2*SQRT(ABS(-H26))*COS((K26+2*PI())/3)-E26/3</f>
        <v>34.901109739869099</v>
      </c>
      <c r="N26" s="32">
        <f>2*SQRT(ABS(-H26))*COS((K26+4*PI())/3)-E26/3</f>
        <v>208.43557172114549</v>
      </c>
      <c r="P26" t="str">
        <f>"[TestCase("&amp;ROUND(A26,6)&amp;", "&amp;ROUND(B26,6)&amp;", "&amp;ROUND(C26,6)&amp;", "&amp;ROUND(D26,6)&amp;", "&amp;ROUND(L26,6)&amp;", "&amp;ROUND(M26,6)&amp;", "&amp;ROUND(N26,6)&amp;")]"</f>
        <v>[TestCase(0.636733, -378.604263, 59057.623334, -1627072.644858, 351.26821, 34.90111, 208.435572)]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CCEAE-A218-4C94-819E-031E3B1F04E0}">
  <sheetPr codeName="Sheet3"/>
  <dimension ref="A1"/>
  <sheetViews>
    <sheetView workbookViewId="0">
      <selection activeCell="B38" sqref="B38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5911-FCC4-4561-9B15-FA5562CD2EAD}">
  <sheetPr codeName="Sheet4"/>
  <dimension ref="A1:U40"/>
  <sheetViews>
    <sheetView workbookViewId="0">
      <selection activeCell="F41" sqref="F41"/>
    </sheetView>
  </sheetViews>
  <sheetFormatPr defaultRowHeight="14.4" x14ac:dyDescent="0.3"/>
  <cols>
    <col min="1" max="1" width="12" customWidth="1"/>
    <col min="8" max="8" width="12" bestFit="1" customWidth="1"/>
    <col min="9" max="9" width="12.6640625" bestFit="1" customWidth="1"/>
    <col min="13" max="14" width="23.44140625" bestFit="1" customWidth="1"/>
    <col min="15" max="17" width="34.5546875" bestFit="1" customWidth="1"/>
    <col min="18" max="18" width="33.88671875" bestFit="1" customWidth="1"/>
    <col min="19" max="19" width="37.21875" bestFit="1" customWidth="1"/>
    <col min="20" max="20" width="36.21875" bestFit="1" customWidth="1"/>
    <col min="21" max="21" width="24" bestFit="1" customWidth="1"/>
  </cols>
  <sheetData>
    <row r="1" spans="1:21" s="2" customFormat="1" x14ac:dyDescent="0.3">
      <c r="A1" s="2" t="s">
        <v>36</v>
      </c>
      <c r="M1" s="2" t="s">
        <v>52</v>
      </c>
    </row>
    <row r="2" spans="1:21" x14ac:dyDescent="0.3">
      <c r="A2" s="6" t="s">
        <v>43</v>
      </c>
      <c r="B2" s="6" t="s">
        <v>37</v>
      </c>
      <c r="C2" s="6" t="s">
        <v>38</v>
      </c>
      <c r="D2" s="6" t="s">
        <v>39</v>
      </c>
      <c r="E2" s="6" t="s">
        <v>41</v>
      </c>
      <c r="F2" s="6" t="s">
        <v>40</v>
      </c>
      <c r="G2" s="6" t="s">
        <v>42</v>
      </c>
      <c r="H2" s="6" t="s">
        <v>287</v>
      </c>
      <c r="I2" s="6" t="s">
        <v>288</v>
      </c>
      <c r="J2" s="6" t="s">
        <v>289</v>
      </c>
      <c r="M2" s="6" t="s">
        <v>37</v>
      </c>
      <c r="N2" s="6" t="s">
        <v>38</v>
      </c>
      <c r="O2" s="6" t="s">
        <v>39</v>
      </c>
      <c r="P2" s="6" t="s">
        <v>41</v>
      </c>
      <c r="Q2" s="6" t="s">
        <v>40</v>
      </c>
      <c r="R2" s="6" t="s">
        <v>42</v>
      </c>
      <c r="S2" s="6" t="s">
        <v>287</v>
      </c>
      <c r="T2" s="6" t="s">
        <v>288</v>
      </c>
      <c r="U2" s="6" t="s">
        <v>289</v>
      </c>
    </row>
    <row r="3" spans="1:21" x14ac:dyDescent="0.3">
      <c r="A3">
        <v>0</v>
      </c>
      <c r="B3">
        <f>ROUND(SIN(RADIANS($A3)),6)</f>
        <v>0</v>
      </c>
      <c r="C3">
        <f>ROUND(COS(RADIANS($A3)),6)</f>
        <v>1</v>
      </c>
      <c r="D3">
        <f>ROUND(TAN(RADIANS($A3)),6)</f>
        <v>0</v>
      </c>
      <c r="E3">
        <f>ROUND(_xlfn.SEC(RADIANS($A3)),6)</f>
        <v>1</v>
      </c>
      <c r="F3" s="2" t="e">
        <f>ROUND(_xlfn.CSC(RADIANS($A3)),6)</f>
        <v>#DIV/0!</v>
      </c>
      <c r="G3" s="2" t="e">
        <f>ROUND(_xlfn.COT(RADIANS($A3)),6)</f>
        <v>#DIV/0!</v>
      </c>
      <c r="H3" s="3">
        <f>ROUND(SINH(RADIANS($A3)),6)</f>
        <v>0</v>
      </c>
      <c r="I3" s="3">
        <f>ROUND(COSH(RADIANS($A3)),6)</f>
        <v>1</v>
      </c>
      <c r="J3" s="3">
        <f>ROUND(TANH(RADIANS($A3)),6)</f>
        <v>0</v>
      </c>
      <c r="K3" s="9" t="s">
        <v>44</v>
      </c>
      <c r="M3" t="str">
        <f>"[TestCase("&amp;$A3&amp;","&amp;IF(B3&lt;-100,"double.NegativeInfinity",IF(B3&gt;100,"double.PositiveInfinity",B3))&amp;")]"</f>
        <v>[TestCase(0,0)]</v>
      </c>
      <c r="N3" t="str">
        <f>"[TestCase("&amp;$A3&amp;","&amp;IF(C3&lt;-100,"double.NegativeInfinity",IF(C3&gt;100,"double.PositiveInfinity",C3))&amp;")]"</f>
        <v>[TestCase(0,1)]</v>
      </c>
      <c r="O3" t="str">
        <f>"[TestCase("&amp;$A3&amp;","&amp;IF(D3&lt;-100,"double.NegativeInfinity",IF(D3&gt;100,"double.PositiveInfinity",D3))&amp;")]"</f>
        <v>[TestCase(0,0)]</v>
      </c>
      <c r="P3" t="str">
        <f>"[TestCase("&amp;$A3&amp;","&amp;IF(E3&lt;-100,"double.NegativeInfinity",IF(E3&gt;100,"double.PositiveInfinity",E3))&amp;")]"</f>
        <v>[TestCase(0,1)]</v>
      </c>
      <c r="Q3" s="10" t="str">
        <f>"[TestCase("&amp;$A3&amp;", double.PositiveInfinity)]"</f>
        <v>[TestCase(0, double.PositiveInfinity)]</v>
      </c>
      <c r="R3" s="10" t="str">
        <f>"[TestCase("&amp;$A3&amp;", double.PositiveInfinity)]"</f>
        <v>[TestCase(0, double.PositiveInfinity)]</v>
      </c>
      <c r="S3" t="str">
        <f>"[TestCase("&amp;$A3&amp;","&amp;H3&amp;")]"</f>
        <v>[TestCase(0,0)]</v>
      </c>
      <c r="T3" t="str">
        <f>"[TestCase("&amp;$A3&amp;","&amp;I3&amp;")]"</f>
        <v>[TestCase(0,1)]</v>
      </c>
      <c r="U3" t="str">
        <f>"[TestCase("&amp;$A3&amp;","&amp;J3&amp;")]"</f>
        <v>[TestCase(0,0)]</v>
      </c>
    </row>
    <row r="4" spans="1:21" x14ac:dyDescent="0.3">
      <c r="A4">
        <v>45</v>
      </c>
      <c r="B4">
        <f t="shared" ref="B4:B21" si="0">ROUND(SIN(RADIANS($A4)),6)</f>
        <v>0.70710700000000004</v>
      </c>
      <c r="C4">
        <f t="shared" ref="C4:C21" si="1">ROUND(COS(RADIANS($A4)),6)</f>
        <v>0.70710700000000004</v>
      </c>
      <c r="D4">
        <f t="shared" ref="D4:D21" si="2">ROUND(TAN(RADIANS($A4)),6)</f>
        <v>1</v>
      </c>
      <c r="E4">
        <f t="shared" ref="E4:E21" si="3">ROUND(_xlfn.SEC(RADIANS($A4)),6)</f>
        <v>1.4142140000000001</v>
      </c>
      <c r="F4">
        <f t="shared" ref="F4:F21" si="4">ROUND(_xlfn.CSC(RADIANS($A4)),6)</f>
        <v>1.4142140000000001</v>
      </c>
      <c r="G4">
        <f t="shared" ref="G4:G21" si="5">ROUND(_xlfn.COT(RADIANS($A4)),6)</f>
        <v>1</v>
      </c>
      <c r="H4" s="3">
        <f t="shared" ref="H4:H21" si="6">ROUND(SINH(RADIANS($A4)),6)</f>
        <v>0.86867099999999997</v>
      </c>
      <c r="I4" s="3">
        <f t="shared" ref="I4:I21" si="7">ROUND(COSH(RADIANS($A4)),6)</f>
        <v>1.3246089999999999</v>
      </c>
      <c r="J4" s="3">
        <f t="shared" ref="J4:J21" si="8">ROUND(TANH(RADIANS($A4)),6)</f>
        <v>0.65579399999999999</v>
      </c>
      <c r="K4" s="2" t="s">
        <v>45</v>
      </c>
      <c r="M4" t="str">
        <f t="shared" ref="M4:M21" si="9">"[TestCase("&amp;$A4&amp;","&amp;IF(B4&lt;-100,"double.NegativeInfinity",IF(B4&gt;100,"double.PositiveInfinity",B4))&amp;")]"</f>
        <v>[TestCase(45,0.707107)]</v>
      </c>
      <c r="N4" t="str">
        <f t="shared" ref="N4:N21" si="10">"[TestCase("&amp;$A4&amp;","&amp;IF(C4&lt;-100,"double.NegativeInfinity",IF(C4&gt;100,"double.PositiveInfinity",C4))&amp;")]"</f>
        <v>[TestCase(45,0.707107)]</v>
      </c>
      <c r="O4" t="str">
        <f t="shared" ref="O4:O21" si="11">"[TestCase("&amp;$A4&amp;","&amp;IF(D4&lt;-100,"double.NegativeInfinity",IF(D4&gt;100,"double.PositiveInfinity",D4))&amp;")]"</f>
        <v>[TestCase(45,1)]</v>
      </c>
      <c r="P4" t="str">
        <f t="shared" ref="P4:P21" si="12">"[TestCase("&amp;$A4&amp;","&amp;IF(E4&lt;-100,"double.NegativeInfinity",IF(E4&gt;100,"double.PositiveInfinity",E4))&amp;")]"</f>
        <v>[TestCase(45,1.414214)]</v>
      </c>
      <c r="Q4" t="str">
        <f t="shared" ref="Q4:Q21" si="13">"[TestCase("&amp;$A4&amp;","&amp;IF(F4&lt;-100,"double.NegativeInfinity",IF(F4&gt;100,"double.PositiveInfinity",F4))&amp;")]"</f>
        <v>[TestCase(45,1.414214)]</v>
      </c>
      <c r="R4" t="str">
        <f t="shared" ref="R4:R21" si="14">"[TestCase("&amp;$A4&amp;","&amp;IF(G4&lt;-100,"double.NegativeInfinity",IF(G4&gt;100,"double.PositiveInfinity",G4))&amp;")]"</f>
        <v>[TestCase(45,1)]</v>
      </c>
      <c r="S4" t="str">
        <f t="shared" ref="S4:S21" si="15">"[TestCase("&amp;$A4&amp;","&amp;H4&amp;")]"</f>
        <v>[TestCase(45,0.868671)]</v>
      </c>
      <c r="T4" t="str">
        <f t="shared" ref="T4:T21" si="16">"[TestCase("&amp;$A4&amp;","&amp;I4&amp;")]"</f>
        <v>[TestCase(45,1.324609)]</v>
      </c>
      <c r="U4" t="str">
        <f t="shared" ref="U4:U21" si="17">"[TestCase("&amp;$A4&amp;","&amp;J4&amp;")]"</f>
        <v>[TestCase(45,0.655794)]</v>
      </c>
    </row>
    <row r="5" spans="1:21" x14ac:dyDescent="0.3">
      <c r="A5">
        <v>90</v>
      </c>
      <c r="B5">
        <f t="shared" si="0"/>
        <v>1</v>
      </c>
      <c r="C5">
        <f t="shared" si="1"/>
        <v>0</v>
      </c>
      <c r="D5" s="2">
        <f t="shared" si="2"/>
        <v>1.63245522776191E+16</v>
      </c>
      <c r="E5" s="2">
        <f t="shared" si="3"/>
        <v>1.63245522776191E+16</v>
      </c>
      <c r="F5">
        <f t="shared" si="4"/>
        <v>1</v>
      </c>
      <c r="G5">
        <f t="shared" si="5"/>
        <v>0</v>
      </c>
      <c r="H5" s="3">
        <f t="shared" si="6"/>
        <v>2.3012990000000002</v>
      </c>
      <c r="I5" s="3">
        <f t="shared" si="7"/>
        <v>2.5091779999999999</v>
      </c>
      <c r="J5" s="3">
        <f t="shared" si="8"/>
        <v>0.91715199999999997</v>
      </c>
      <c r="M5" t="str">
        <f t="shared" si="9"/>
        <v>[TestCase(90,1)]</v>
      </c>
      <c r="N5" t="str">
        <f t="shared" si="10"/>
        <v>[TestCase(90,0)]</v>
      </c>
      <c r="O5" t="str">
        <f t="shared" si="11"/>
        <v>[TestCase(90,double.PositiveInfinity)]</v>
      </c>
      <c r="P5" t="str">
        <f t="shared" si="12"/>
        <v>[TestCase(90,double.PositiveInfinity)]</v>
      </c>
      <c r="Q5" t="str">
        <f t="shared" si="13"/>
        <v>[TestCase(90,1)]</v>
      </c>
      <c r="R5" t="str">
        <f t="shared" si="14"/>
        <v>[TestCase(90,0)]</v>
      </c>
      <c r="S5" t="str">
        <f t="shared" si="15"/>
        <v>[TestCase(90,2.301299)]</v>
      </c>
      <c r="T5" t="str">
        <f t="shared" si="16"/>
        <v>[TestCase(90,2.509178)]</v>
      </c>
      <c r="U5" t="str">
        <f t="shared" si="17"/>
        <v>[TestCase(90,0.917152)]</v>
      </c>
    </row>
    <row r="6" spans="1:21" x14ac:dyDescent="0.3">
      <c r="A6">
        <v>135</v>
      </c>
      <c r="B6">
        <f t="shared" si="0"/>
        <v>0.70710700000000004</v>
      </c>
      <c r="C6">
        <f t="shared" si="1"/>
        <v>-0.70710700000000004</v>
      </c>
      <c r="D6">
        <f t="shared" si="2"/>
        <v>-1</v>
      </c>
      <c r="E6">
        <f t="shared" si="3"/>
        <v>-1.4142140000000001</v>
      </c>
      <c r="F6">
        <f t="shared" si="4"/>
        <v>1.4142140000000001</v>
      </c>
      <c r="G6">
        <f t="shared" si="5"/>
        <v>-1</v>
      </c>
      <c r="H6" s="3">
        <f t="shared" si="6"/>
        <v>5.2279720000000003</v>
      </c>
      <c r="I6" s="3">
        <f t="shared" si="7"/>
        <v>5.3227520000000004</v>
      </c>
      <c r="J6" s="3">
        <f t="shared" si="8"/>
        <v>0.98219299999999998</v>
      </c>
      <c r="M6" t="str">
        <f t="shared" si="9"/>
        <v>[TestCase(135,0.707107)]</v>
      </c>
      <c r="N6" t="str">
        <f t="shared" si="10"/>
        <v>[TestCase(135,-0.707107)]</v>
      </c>
      <c r="O6" t="str">
        <f t="shared" si="11"/>
        <v>[TestCase(135,-1)]</v>
      </c>
      <c r="P6" t="str">
        <f t="shared" si="12"/>
        <v>[TestCase(135,-1.414214)]</v>
      </c>
      <c r="Q6" t="str">
        <f t="shared" si="13"/>
        <v>[TestCase(135,1.414214)]</v>
      </c>
      <c r="R6" t="str">
        <f t="shared" si="14"/>
        <v>[TestCase(135,-1)]</v>
      </c>
      <c r="S6" t="str">
        <f t="shared" si="15"/>
        <v>[TestCase(135,5.227972)]</v>
      </c>
      <c r="T6" t="str">
        <f t="shared" si="16"/>
        <v>[TestCase(135,5.322752)]</v>
      </c>
      <c r="U6" t="str">
        <f t="shared" si="17"/>
        <v>[TestCase(135,0.982193)]</v>
      </c>
    </row>
    <row r="7" spans="1:21" x14ac:dyDescent="0.3">
      <c r="A7">
        <v>180</v>
      </c>
      <c r="B7">
        <f t="shared" si="0"/>
        <v>0</v>
      </c>
      <c r="C7">
        <f t="shared" si="1"/>
        <v>-1</v>
      </c>
      <c r="D7">
        <f t="shared" si="2"/>
        <v>0</v>
      </c>
      <c r="E7">
        <f t="shared" si="3"/>
        <v>-1</v>
      </c>
      <c r="F7" s="2">
        <f t="shared" si="4"/>
        <v>8162276138809540</v>
      </c>
      <c r="G7" s="9">
        <f t="shared" si="5"/>
        <v>-8162276138809540</v>
      </c>
      <c r="H7" s="3">
        <f t="shared" si="6"/>
        <v>11.548738999999999</v>
      </c>
      <c r="I7" s="3">
        <f t="shared" si="7"/>
        <v>11.591953</v>
      </c>
      <c r="J7" s="3">
        <f t="shared" si="8"/>
        <v>0.99627200000000005</v>
      </c>
      <c r="M7" t="str">
        <f t="shared" si="9"/>
        <v>[TestCase(180,0)]</v>
      </c>
      <c r="N7" t="str">
        <f t="shared" si="10"/>
        <v>[TestCase(180,-1)]</v>
      </c>
      <c r="O7" t="str">
        <f t="shared" si="11"/>
        <v>[TestCase(180,0)]</v>
      </c>
      <c r="P7" t="str">
        <f t="shared" si="12"/>
        <v>[TestCase(180,-1)]</v>
      </c>
      <c r="Q7" t="str">
        <f t="shared" si="13"/>
        <v>[TestCase(180,double.PositiveInfinity)]</v>
      </c>
      <c r="R7" t="str">
        <f t="shared" si="14"/>
        <v>[TestCase(180,double.NegativeInfinity)]</v>
      </c>
      <c r="S7" t="str">
        <f t="shared" si="15"/>
        <v>[TestCase(180,11.548739)]</v>
      </c>
      <c r="T7" t="str">
        <f t="shared" si="16"/>
        <v>[TestCase(180,11.591953)]</v>
      </c>
      <c r="U7" t="str">
        <f t="shared" si="17"/>
        <v>[TestCase(180,0.996272)]</v>
      </c>
    </row>
    <row r="8" spans="1:21" x14ac:dyDescent="0.3">
      <c r="A8">
        <v>225</v>
      </c>
      <c r="B8">
        <f t="shared" si="0"/>
        <v>-0.70710700000000004</v>
      </c>
      <c r="C8">
        <f t="shared" si="1"/>
        <v>-0.70710700000000004</v>
      </c>
      <c r="D8">
        <f t="shared" si="2"/>
        <v>1</v>
      </c>
      <c r="E8">
        <f t="shared" si="3"/>
        <v>-1.4142140000000001</v>
      </c>
      <c r="F8">
        <f t="shared" si="4"/>
        <v>-1.4142140000000001</v>
      </c>
      <c r="G8">
        <f t="shared" si="5"/>
        <v>1</v>
      </c>
      <c r="H8" s="3">
        <f t="shared" si="6"/>
        <v>25.367158</v>
      </c>
      <c r="I8" s="3">
        <f t="shared" si="7"/>
        <v>25.386861</v>
      </c>
      <c r="J8" s="3">
        <f t="shared" si="8"/>
        <v>0.999224</v>
      </c>
      <c r="M8" t="str">
        <f t="shared" si="9"/>
        <v>[TestCase(225,-0.707107)]</v>
      </c>
      <c r="N8" t="str">
        <f t="shared" si="10"/>
        <v>[TestCase(225,-0.707107)]</v>
      </c>
      <c r="O8" t="str">
        <f t="shared" si="11"/>
        <v>[TestCase(225,1)]</v>
      </c>
      <c r="P8" t="str">
        <f t="shared" si="12"/>
        <v>[TestCase(225,-1.414214)]</v>
      </c>
      <c r="Q8" t="str">
        <f t="shared" si="13"/>
        <v>[TestCase(225,-1.414214)]</v>
      </c>
      <c r="R8" t="str">
        <f t="shared" si="14"/>
        <v>[TestCase(225,1)]</v>
      </c>
      <c r="S8" t="str">
        <f t="shared" si="15"/>
        <v>[TestCase(225,25.367158)]</v>
      </c>
      <c r="T8" t="str">
        <f t="shared" si="16"/>
        <v>[TestCase(225,25.386861)]</v>
      </c>
      <c r="U8" t="str">
        <f t="shared" si="17"/>
        <v>[TestCase(225,0.999224)]</v>
      </c>
    </row>
    <row r="9" spans="1:21" x14ac:dyDescent="0.3">
      <c r="A9">
        <v>270</v>
      </c>
      <c r="B9">
        <f t="shared" si="0"/>
        <v>-1</v>
      </c>
      <c r="C9">
        <f t="shared" si="1"/>
        <v>0</v>
      </c>
      <c r="D9" s="2">
        <f t="shared" si="2"/>
        <v>5441517425873020</v>
      </c>
      <c r="E9" s="9">
        <f t="shared" si="3"/>
        <v>-5441517425873020</v>
      </c>
      <c r="F9">
        <f t="shared" si="4"/>
        <v>-1</v>
      </c>
      <c r="G9">
        <f t="shared" si="5"/>
        <v>0</v>
      </c>
      <c r="H9" s="3">
        <f t="shared" si="6"/>
        <v>55.654398</v>
      </c>
      <c r="I9" s="3">
        <f t="shared" si="7"/>
        <v>55.663381000000001</v>
      </c>
      <c r="J9" s="3">
        <f t="shared" si="8"/>
        <v>0.99983900000000003</v>
      </c>
      <c r="M9" t="str">
        <f t="shared" si="9"/>
        <v>[TestCase(270,-1)]</v>
      </c>
      <c r="N9" t="str">
        <f t="shared" si="10"/>
        <v>[TestCase(270,0)]</v>
      </c>
      <c r="O9" t="str">
        <f t="shared" si="11"/>
        <v>[TestCase(270,double.PositiveInfinity)]</v>
      </c>
      <c r="P9" t="str">
        <f t="shared" si="12"/>
        <v>[TestCase(270,double.NegativeInfinity)]</v>
      </c>
      <c r="Q9" t="str">
        <f t="shared" si="13"/>
        <v>[TestCase(270,-1)]</v>
      </c>
      <c r="R9" t="str">
        <f t="shared" si="14"/>
        <v>[TestCase(270,0)]</v>
      </c>
      <c r="S9" t="str">
        <f t="shared" si="15"/>
        <v>[TestCase(270,55.654398)]</v>
      </c>
      <c r="T9" t="str">
        <f t="shared" si="16"/>
        <v>[TestCase(270,55.663381)]</v>
      </c>
      <c r="U9" t="str">
        <f t="shared" si="17"/>
        <v>[TestCase(270,0.999839)]</v>
      </c>
    </row>
    <row r="10" spans="1:21" x14ac:dyDescent="0.3">
      <c r="A10">
        <v>315</v>
      </c>
      <c r="B10">
        <f t="shared" si="0"/>
        <v>-0.70710700000000004</v>
      </c>
      <c r="C10">
        <f t="shared" si="1"/>
        <v>0.70710700000000004</v>
      </c>
      <c r="D10">
        <f t="shared" si="2"/>
        <v>-1</v>
      </c>
      <c r="E10">
        <f t="shared" si="3"/>
        <v>1.4142140000000001</v>
      </c>
      <c r="F10">
        <f t="shared" si="4"/>
        <v>-1.4142140000000001</v>
      </c>
      <c r="G10">
        <f t="shared" si="5"/>
        <v>-1</v>
      </c>
      <c r="H10" s="3">
        <f t="shared" si="6"/>
        <v>122.07348399999999</v>
      </c>
      <c r="I10" s="3">
        <f t="shared" si="7"/>
        <v>122.077579</v>
      </c>
      <c r="J10" s="3">
        <f t="shared" si="8"/>
        <v>0.99996600000000002</v>
      </c>
      <c r="M10" t="str">
        <f t="shared" si="9"/>
        <v>[TestCase(315,-0.707107)]</v>
      </c>
      <c r="N10" t="str">
        <f t="shared" si="10"/>
        <v>[TestCase(315,0.707107)]</v>
      </c>
      <c r="O10" t="str">
        <f t="shared" si="11"/>
        <v>[TestCase(315,-1)]</v>
      </c>
      <c r="P10" t="str">
        <f t="shared" si="12"/>
        <v>[TestCase(315,1.414214)]</v>
      </c>
      <c r="Q10" t="str">
        <f t="shared" si="13"/>
        <v>[TestCase(315,-1.414214)]</v>
      </c>
      <c r="R10" t="str">
        <f t="shared" si="14"/>
        <v>[TestCase(315,-1)]</v>
      </c>
      <c r="S10" t="str">
        <f t="shared" si="15"/>
        <v>[TestCase(315,122.073484)]</v>
      </c>
      <c r="T10" t="str">
        <f t="shared" si="16"/>
        <v>[TestCase(315,122.077579)]</v>
      </c>
      <c r="U10" t="str">
        <f t="shared" si="17"/>
        <v>[TestCase(315,0.999966)]</v>
      </c>
    </row>
    <row r="11" spans="1:21" x14ac:dyDescent="0.3">
      <c r="A11">
        <v>360</v>
      </c>
      <c r="B11">
        <f t="shared" si="0"/>
        <v>0</v>
      </c>
      <c r="C11">
        <f t="shared" si="1"/>
        <v>1</v>
      </c>
      <c r="D11">
        <f t="shared" si="2"/>
        <v>0</v>
      </c>
      <c r="E11">
        <f t="shared" si="3"/>
        <v>1</v>
      </c>
      <c r="F11" s="9">
        <f t="shared" si="4"/>
        <v>-4081138069404770</v>
      </c>
      <c r="G11" s="9">
        <f t="shared" si="5"/>
        <v>-4081138069404770</v>
      </c>
      <c r="H11" s="3">
        <f t="shared" si="6"/>
        <v>267.74489399999999</v>
      </c>
      <c r="I11" s="3">
        <f t="shared" si="7"/>
        <v>267.74676099999999</v>
      </c>
      <c r="J11" s="3">
        <f t="shared" si="8"/>
        <v>0.99999300000000002</v>
      </c>
      <c r="M11" t="str">
        <f t="shared" si="9"/>
        <v>[TestCase(360,0)]</v>
      </c>
      <c r="N11" t="str">
        <f t="shared" si="10"/>
        <v>[TestCase(360,1)]</v>
      </c>
      <c r="O11" t="str">
        <f t="shared" si="11"/>
        <v>[TestCase(360,0)]</v>
      </c>
      <c r="P11" t="str">
        <f t="shared" si="12"/>
        <v>[TestCase(360,1)]</v>
      </c>
      <c r="Q11" t="str">
        <f t="shared" si="13"/>
        <v>[TestCase(360,double.NegativeInfinity)]</v>
      </c>
      <c r="R11" t="str">
        <f t="shared" si="14"/>
        <v>[TestCase(360,double.NegativeInfinity)]</v>
      </c>
      <c r="S11" t="str">
        <f t="shared" si="15"/>
        <v>[TestCase(360,267.744894)]</v>
      </c>
      <c r="T11" t="str">
        <f t="shared" si="16"/>
        <v>[TestCase(360,267.746761)]</v>
      </c>
      <c r="U11" t="str">
        <f t="shared" si="17"/>
        <v>[TestCase(360,0.999993)]</v>
      </c>
    </row>
    <row r="12" spans="1:21" x14ac:dyDescent="0.3">
      <c r="A12">
        <v>30</v>
      </c>
      <c r="B12">
        <f t="shared" si="0"/>
        <v>0.5</v>
      </c>
      <c r="C12">
        <f t="shared" si="1"/>
        <v>0.86602500000000004</v>
      </c>
      <c r="D12">
        <f t="shared" si="2"/>
        <v>0.57735000000000003</v>
      </c>
      <c r="E12">
        <f t="shared" si="3"/>
        <v>1.154701</v>
      </c>
      <c r="F12">
        <f t="shared" si="4"/>
        <v>2</v>
      </c>
      <c r="G12">
        <f t="shared" si="5"/>
        <v>1.732051</v>
      </c>
      <c r="H12" s="3">
        <f t="shared" si="6"/>
        <v>0.54785300000000003</v>
      </c>
      <c r="I12" s="3">
        <f t="shared" si="7"/>
        <v>1.1402380000000001</v>
      </c>
      <c r="J12" s="3">
        <f t="shared" si="8"/>
        <v>0.48047299999999998</v>
      </c>
      <c r="M12" t="str">
        <f t="shared" si="9"/>
        <v>[TestCase(30,0.5)]</v>
      </c>
      <c r="N12" t="str">
        <f t="shared" si="10"/>
        <v>[TestCase(30,0.866025)]</v>
      </c>
      <c r="O12" t="str">
        <f t="shared" si="11"/>
        <v>[TestCase(30,0.57735)]</v>
      </c>
      <c r="P12" t="str">
        <f t="shared" si="12"/>
        <v>[TestCase(30,1.154701)]</v>
      </c>
      <c r="Q12" t="str">
        <f t="shared" si="13"/>
        <v>[TestCase(30,2)]</v>
      </c>
      <c r="R12" t="str">
        <f t="shared" si="14"/>
        <v>[TestCase(30,1.732051)]</v>
      </c>
      <c r="S12" t="str">
        <f t="shared" si="15"/>
        <v>[TestCase(30,0.547853)]</v>
      </c>
      <c r="T12" t="str">
        <f t="shared" si="16"/>
        <v>[TestCase(30,1.140238)]</v>
      </c>
      <c r="U12" t="str">
        <f t="shared" si="17"/>
        <v>[TestCase(30,0.480473)]</v>
      </c>
    </row>
    <row r="13" spans="1:21" x14ac:dyDescent="0.3">
      <c r="A13">
        <v>60</v>
      </c>
      <c r="B13">
        <f t="shared" si="0"/>
        <v>0.86602500000000004</v>
      </c>
      <c r="C13">
        <f t="shared" si="1"/>
        <v>0.5</v>
      </c>
      <c r="D13">
        <f t="shared" si="2"/>
        <v>1.732051</v>
      </c>
      <c r="E13">
        <f t="shared" si="3"/>
        <v>2</v>
      </c>
      <c r="F13">
        <f t="shared" si="4"/>
        <v>1.154701</v>
      </c>
      <c r="G13">
        <f t="shared" si="5"/>
        <v>0.57735000000000003</v>
      </c>
      <c r="H13" s="3">
        <f t="shared" si="6"/>
        <v>1.2493669999999999</v>
      </c>
      <c r="I13" s="3">
        <f t="shared" si="7"/>
        <v>1.600287</v>
      </c>
      <c r="J13" s="3">
        <f t="shared" si="8"/>
        <v>0.78071400000000002</v>
      </c>
      <c r="M13" t="str">
        <f t="shared" si="9"/>
        <v>[TestCase(60,0.866025)]</v>
      </c>
      <c r="N13" t="str">
        <f t="shared" si="10"/>
        <v>[TestCase(60,0.5)]</v>
      </c>
      <c r="O13" t="str">
        <f t="shared" si="11"/>
        <v>[TestCase(60,1.732051)]</v>
      </c>
      <c r="P13" t="str">
        <f t="shared" si="12"/>
        <v>[TestCase(60,2)]</v>
      </c>
      <c r="Q13" t="str">
        <f t="shared" si="13"/>
        <v>[TestCase(60,1.154701)]</v>
      </c>
      <c r="R13" t="str">
        <f t="shared" si="14"/>
        <v>[TestCase(60,0.57735)]</v>
      </c>
      <c r="S13" t="str">
        <f t="shared" si="15"/>
        <v>[TestCase(60,1.249367)]</v>
      </c>
      <c r="T13" t="str">
        <f t="shared" si="16"/>
        <v>[TestCase(60,1.600287)]</v>
      </c>
      <c r="U13" t="str">
        <f t="shared" si="17"/>
        <v>[TestCase(60,0.780714)]</v>
      </c>
    </row>
    <row r="14" spans="1:21" x14ac:dyDescent="0.3">
      <c r="A14">
        <f t="shared" ref="A14:A21" si="18">-A4</f>
        <v>-45</v>
      </c>
      <c r="B14">
        <f t="shared" si="0"/>
        <v>-0.70710700000000004</v>
      </c>
      <c r="C14">
        <f t="shared" si="1"/>
        <v>0.70710700000000004</v>
      </c>
      <c r="D14">
        <f t="shared" si="2"/>
        <v>-1</v>
      </c>
      <c r="E14">
        <f t="shared" si="3"/>
        <v>1.4142140000000001</v>
      </c>
      <c r="F14">
        <f t="shared" si="4"/>
        <v>-1.4142140000000001</v>
      </c>
      <c r="G14">
        <f t="shared" si="5"/>
        <v>-1</v>
      </c>
      <c r="H14" s="3">
        <f t="shared" si="6"/>
        <v>-0.86867099999999997</v>
      </c>
      <c r="I14" s="3">
        <f t="shared" si="7"/>
        <v>1.3246089999999999</v>
      </c>
      <c r="J14" s="3">
        <f t="shared" si="8"/>
        <v>-0.65579399999999999</v>
      </c>
      <c r="M14" t="str">
        <f t="shared" si="9"/>
        <v>[TestCase(-45,-0.707107)]</v>
      </c>
      <c r="N14" t="str">
        <f t="shared" si="10"/>
        <v>[TestCase(-45,0.707107)]</v>
      </c>
      <c r="O14" t="str">
        <f t="shared" si="11"/>
        <v>[TestCase(-45,-1)]</v>
      </c>
      <c r="P14" t="str">
        <f t="shared" si="12"/>
        <v>[TestCase(-45,1.414214)]</v>
      </c>
      <c r="Q14" t="str">
        <f t="shared" si="13"/>
        <v>[TestCase(-45,-1.414214)]</v>
      </c>
      <c r="R14" t="str">
        <f t="shared" si="14"/>
        <v>[TestCase(-45,-1)]</v>
      </c>
      <c r="S14" t="str">
        <f t="shared" si="15"/>
        <v>[TestCase(-45,-0.868671)]</v>
      </c>
      <c r="T14" t="str">
        <f t="shared" si="16"/>
        <v>[TestCase(-45,1.324609)]</v>
      </c>
      <c r="U14" t="str">
        <f t="shared" si="17"/>
        <v>[TestCase(-45,-0.655794)]</v>
      </c>
    </row>
    <row r="15" spans="1:21" x14ac:dyDescent="0.3">
      <c r="A15">
        <f t="shared" si="18"/>
        <v>-90</v>
      </c>
      <c r="B15">
        <f t="shared" si="0"/>
        <v>-1</v>
      </c>
      <c r="C15">
        <f t="shared" si="1"/>
        <v>0</v>
      </c>
      <c r="D15" s="9">
        <f t="shared" si="2"/>
        <v>-1.63245522776191E+16</v>
      </c>
      <c r="E15" s="2">
        <f t="shared" si="3"/>
        <v>1.63245522776191E+16</v>
      </c>
      <c r="F15">
        <f t="shared" si="4"/>
        <v>-1</v>
      </c>
      <c r="G15">
        <f t="shared" si="5"/>
        <v>0</v>
      </c>
      <c r="H15" s="3">
        <f t="shared" si="6"/>
        <v>-2.3012990000000002</v>
      </c>
      <c r="I15" s="3">
        <f t="shared" si="7"/>
        <v>2.5091779999999999</v>
      </c>
      <c r="J15" s="3">
        <f t="shared" si="8"/>
        <v>-0.91715199999999997</v>
      </c>
      <c r="M15" t="str">
        <f t="shared" si="9"/>
        <v>[TestCase(-90,-1)]</v>
      </c>
      <c r="N15" t="str">
        <f t="shared" si="10"/>
        <v>[TestCase(-90,0)]</v>
      </c>
      <c r="O15" t="str">
        <f t="shared" si="11"/>
        <v>[TestCase(-90,double.NegativeInfinity)]</v>
      </c>
      <c r="P15" t="str">
        <f t="shared" si="12"/>
        <v>[TestCase(-90,double.PositiveInfinity)]</v>
      </c>
      <c r="Q15" t="str">
        <f t="shared" si="13"/>
        <v>[TestCase(-90,-1)]</v>
      </c>
      <c r="R15" t="str">
        <f t="shared" si="14"/>
        <v>[TestCase(-90,0)]</v>
      </c>
      <c r="S15" t="str">
        <f t="shared" si="15"/>
        <v>[TestCase(-90,-2.301299)]</v>
      </c>
      <c r="T15" t="str">
        <f t="shared" si="16"/>
        <v>[TestCase(-90,2.509178)]</v>
      </c>
      <c r="U15" t="str">
        <f t="shared" si="17"/>
        <v>[TestCase(-90,-0.917152)]</v>
      </c>
    </row>
    <row r="16" spans="1:21" x14ac:dyDescent="0.3">
      <c r="A16">
        <f t="shared" si="18"/>
        <v>-135</v>
      </c>
      <c r="B16">
        <f t="shared" si="0"/>
        <v>-0.70710700000000004</v>
      </c>
      <c r="C16">
        <f t="shared" si="1"/>
        <v>-0.70710700000000004</v>
      </c>
      <c r="D16">
        <f t="shared" si="2"/>
        <v>1</v>
      </c>
      <c r="E16">
        <f t="shared" si="3"/>
        <v>-1.4142140000000001</v>
      </c>
      <c r="F16">
        <f t="shared" si="4"/>
        <v>-1.4142140000000001</v>
      </c>
      <c r="G16">
        <f t="shared" si="5"/>
        <v>1</v>
      </c>
      <c r="H16" s="3">
        <f t="shared" si="6"/>
        <v>-5.2279720000000003</v>
      </c>
      <c r="I16" s="3">
        <f t="shared" si="7"/>
        <v>5.3227520000000004</v>
      </c>
      <c r="J16" s="3">
        <f t="shared" si="8"/>
        <v>-0.98219299999999998</v>
      </c>
      <c r="M16" t="str">
        <f t="shared" si="9"/>
        <v>[TestCase(-135,-0.707107)]</v>
      </c>
      <c r="N16" t="str">
        <f t="shared" si="10"/>
        <v>[TestCase(-135,-0.707107)]</v>
      </c>
      <c r="O16" t="str">
        <f t="shared" si="11"/>
        <v>[TestCase(-135,1)]</v>
      </c>
      <c r="P16" t="str">
        <f t="shared" si="12"/>
        <v>[TestCase(-135,-1.414214)]</v>
      </c>
      <c r="Q16" t="str">
        <f t="shared" si="13"/>
        <v>[TestCase(-135,-1.414214)]</v>
      </c>
      <c r="R16" t="str">
        <f t="shared" si="14"/>
        <v>[TestCase(-135,1)]</v>
      </c>
      <c r="S16" t="str">
        <f t="shared" si="15"/>
        <v>[TestCase(-135,-5.227972)]</v>
      </c>
      <c r="T16" t="str">
        <f t="shared" si="16"/>
        <v>[TestCase(-135,5.322752)]</v>
      </c>
      <c r="U16" t="str">
        <f t="shared" si="17"/>
        <v>[TestCase(-135,-0.982193)]</v>
      </c>
    </row>
    <row r="17" spans="1:21" x14ac:dyDescent="0.3">
      <c r="A17">
        <f t="shared" si="18"/>
        <v>-180</v>
      </c>
      <c r="B17">
        <f t="shared" si="0"/>
        <v>0</v>
      </c>
      <c r="C17">
        <f t="shared" si="1"/>
        <v>-1</v>
      </c>
      <c r="D17">
        <f t="shared" si="2"/>
        <v>0</v>
      </c>
      <c r="E17">
        <f t="shared" si="3"/>
        <v>-1</v>
      </c>
      <c r="F17" s="9">
        <f t="shared" si="4"/>
        <v>-8162276138809540</v>
      </c>
      <c r="G17" s="2">
        <f t="shared" si="5"/>
        <v>8162276138809540</v>
      </c>
      <c r="H17" s="3">
        <f t="shared" si="6"/>
        <v>-11.548738999999999</v>
      </c>
      <c r="I17" s="3">
        <f t="shared" si="7"/>
        <v>11.591953</v>
      </c>
      <c r="J17" s="3">
        <f t="shared" si="8"/>
        <v>-0.99627200000000005</v>
      </c>
      <c r="M17" t="str">
        <f t="shared" si="9"/>
        <v>[TestCase(-180,0)]</v>
      </c>
      <c r="N17" t="str">
        <f t="shared" si="10"/>
        <v>[TestCase(-180,-1)]</v>
      </c>
      <c r="O17" t="str">
        <f t="shared" si="11"/>
        <v>[TestCase(-180,0)]</v>
      </c>
      <c r="P17" t="str">
        <f t="shared" si="12"/>
        <v>[TestCase(-180,-1)]</v>
      </c>
      <c r="Q17" t="str">
        <f t="shared" si="13"/>
        <v>[TestCase(-180,double.NegativeInfinity)]</v>
      </c>
      <c r="R17" t="str">
        <f t="shared" si="14"/>
        <v>[TestCase(-180,double.PositiveInfinity)]</v>
      </c>
      <c r="S17" t="str">
        <f t="shared" si="15"/>
        <v>[TestCase(-180,-11.548739)]</v>
      </c>
      <c r="T17" t="str">
        <f t="shared" si="16"/>
        <v>[TestCase(-180,11.591953)]</v>
      </c>
      <c r="U17" t="str">
        <f t="shared" si="17"/>
        <v>[TestCase(-180,-0.996272)]</v>
      </c>
    </row>
    <row r="18" spans="1:21" x14ac:dyDescent="0.3">
      <c r="A18">
        <f t="shared" si="18"/>
        <v>-225</v>
      </c>
      <c r="B18">
        <f t="shared" si="0"/>
        <v>0.70710700000000004</v>
      </c>
      <c r="C18">
        <f t="shared" si="1"/>
        <v>-0.70710700000000004</v>
      </c>
      <c r="D18">
        <f t="shared" si="2"/>
        <v>-1</v>
      </c>
      <c r="E18">
        <f t="shared" si="3"/>
        <v>-1.4142140000000001</v>
      </c>
      <c r="F18">
        <f t="shared" si="4"/>
        <v>1.4142140000000001</v>
      </c>
      <c r="G18">
        <f t="shared" si="5"/>
        <v>-1</v>
      </c>
      <c r="H18" s="3">
        <f t="shared" si="6"/>
        <v>-25.367158</v>
      </c>
      <c r="I18" s="3">
        <f t="shared" si="7"/>
        <v>25.386861</v>
      </c>
      <c r="J18" s="3">
        <f t="shared" si="8"/>
        <v>-0.999224</v>
      </c>
      <c r="M18" t="str">
        <f t="shared" si="9"/>
        <v>[TestCase(-225,0.707107)]</v>
      </c>
      <c r="N18" t="str">
        <f t="shared" si="10"/>
        <v>[TestCase(-225,-0.707107)]</v>
      </c>
      <c r="O18" t="str">
        <f t="shared" si="11"/>
        <v>[TestCase(-225,-1)]</v>
      </c>
      <c r="P18" t="str">
        <f t="shared" si="12"/>
        <v>[TestCase(-225,-1.414214)]</v>
      </c>
      <c r="Q18" t="str">
        <f t="shared" si="13"/>
        <v>[TestCase(-225,1.414214)]</v>
      </c>
      <c r="R18" t="str">
        <f t="shared" si="14"/>
        <v>[TestCase(-225,-1)]</v>
      </c>
      <c r="S18" t="str">
        <f t="shared" si="15"/>
        <v>[TestCase(-225,-25.367158)]</v>
      </c>
      <c r="T18" t="str">
        <f t="shared" si="16"/>
        <v>[TestCase(-225,25.386861)]</v>
      </c>
      <c r="U18" t="str">
        <f t="shared" si="17"/>
        <v>[TestCase(-225,-0.999224)]</v>
      </c>
    </row>
    <row r="19" spans="1:21" x14ac:dyDescent="0.3">
      <c r="A19">
        <f t="shared" si="18"/>
        <v>-270</v>
      </c>
      <c r="B19">
        <f t="shared" si="0"/>
        <v>1</v>
      </c>
      <c r="C19">
        <f t="shared" si="1"/>
        <v>0</v>
      </c>
      <c r="D19" s="9">
        <f t="shared" si="2"/>
        <v>-5441517425873020</v>
      </c>
      <c r="E19" s="9">
        <f t="shared" si="3"/>
        <v>-5441517425873020</v>
      </c>
      <c r="F19">
        <f t="shared" si="4"/>
        <v>1</v>
      </c>
      <c r="G19">
        <f t="shared" si="5"/>
        <v>0</v>
      </c>
      <c r="H19" s="3">
        <f t="shared" si="6"/>
        <v>-55.654398</v>
      </c>
      <c r="I19" s="3">
        <f t="shared" si="7"/>
        <v>55.663381000000001</v>
      </c>
      <c r="J19" s="3">
        <f t="shared" si="8"/>
        <v>-0.99983900000000003</v>
      </c>
      <c r="M19" t="str">
        <f t="shared" si="9"/>
        <v>[TestCase(-270,1)]</v>
      </c>
      <c r="N19" t="str">
        <f t="shared" si="10"/>
        <v>[TestCase(-270,0)]</v>
      </c>
      <c r="O19" t="str">
        <f t="shared" si="11"/>
        <v>[TestCase(-270,double.NegativeInfinity)]</v>
      </c>
      <c r="P19" t="str">
        <f t="shared" si="12"/>
        <v>[TestCase(-270,double.NegativeInfinity)]</v>
      </c>
      <c r="Q19" t="str">
        <f t="shared" si="13"/>
        <v>[TestCase(-270,1)]</v>
      </c>
      <c r="R19" t="str">
        <f t="shared" si="14"/>
        <v>[TestCase(-270,0)]</v>
      </c>
      <c r="S19" t="str">
        <f t="shared" si="15"/>
        <v>[TestCase(-270,-55.654398)]</v>
      </c>
      <c r="T19" t="str">
        <f t="shared" si="16"/>
        <v>[TestCase(-270,55.663381)]</v>
      </c>
      <c r="U19" t="str">
        <f t="shared" si="17"/>
        <v>[TestCase(-270,-0.999839)]</v>
      </c>
    </row>
    <row r="20" spans="1:21" x14ac:dyDescent="0.3">
      <c r="A20">
        <f t="shared" si="18"/>
        <v>-315</v>
      </c>
      <c r="B20">
        <f t="shared" si="0"/>
        <v>0.70710700000000004</v>
      </c>
      <c r="C20">
        <f t="shared" si="1"/>
        <v>0.70710700000000004</v>
      </c>
      <c r="D20">
        <f t="shared" si="2"/>
        <v>1</v>
      </c>
      <c r="E20">
        <f t="shared" si="3"/>
        <v>1.4142140000000001</v>
      </c>
      <c r="F20">
        <f t="shared" si="4"/>
        <v>1.4142140000000001</v>
      </c>
      <c r="G20">
        <f t="shared" si="5"/>
        <v>1</v>
      </c>
      <c r="H20" s="3">
        <f t="shared" si="6"/>
        <v>-122.07348399999999</v>
      </c>
      <c r="I20" s="3">
        <f t="shared" si="7"/>
        <v>122.077579</v>
      </c>
      <c r="J20" s="3">
        <f t="shared" si="8"/>
        <v>-0.99996600000000002</v>
      </c>
      <c r="M20" t="str">
        <f t="shared" si="9"/>
        <v>[TestCase(-315,0.707107)]</v>
      </c>
      <c r="N20" t="str">
        <f t="shared" si="10"/>
        <v>[TestCase(-315,0.707107)]</v>
      </c>
      <c r="O20" t="str">
        <f t="shared" si="11"/>
        <v>[TestCase(-315,1)]</v>
      </c>
      <c r="P20" t="str">
        <f t="shared" si="12"/>
        <v>[TestCase(-315,1.414214)]</v>
      </c>
      <c r="Q20" t="str">
        <f t="shared" si="13"/>
        <v>[TestCase(-315,1.414214)]</v>
      </c>
      <c r="R20" t="str">
        <f t="shared" si="14"/>
        <v>[TestCase(-315,1)]</v>
      </c>
      <c r="S20" t="str">
        <f t="shared" si="15"/>
        <v>[TestCase(-315,-122.073484)]</v>
      </c>
      <c r="T20" t="str">
        <f t="shared" si="16"/>
        <v>[TestCase(-315,122.077579)]</v>
      </c>
      <c r="U20" t="str">
        <f t="shared" si="17"/>
        <v>[TestCase(-315,-0.999966)]</v>
      </c>
    </row>
    <row r="21" spans="1:21" x14ac:dyDescent="0.3">
      <c r="A21">
        <f t="shared" si="18"/>
        <v>-360</v>
      </c>
      <c r="B21">
        <f t="shared" si="0"/>
        <v>0</v>
      </c>
      <c r="C21">
        <f t="shared" si="1"/>
        <v>1</v>
      </c>
      <c r="D21">
        <f t="shared" si="2"/>
        <v>0</v>
      </c>
      <c r="E21">
        <f t="shared" si="3"/>
        <v>1</v>
      </c>
      <c r="F21" s="2">
        <f t="shared" si="4"/>
        <v>4081138069404770</v>
      </c>
      <c r="G21" s="2">
        <f t="shared" si="5"/>
        <v>4081138069404770</v>
      </c>
      <c r="H21" s="3">
        <f t="shared" si="6"/>
        <v>-267.74489399999999</v>
      </c>
      <c r="I21" s="3">
        <f t="shared" si="7"/>
        <v>267.74676099999999</v>
      </c>
      <c r="J21" s="3">
        <f t="shared" si="8"/>
        <v>-0.99999300000000002</v>
      </c>
      <c r="M21" t="str">
        <f t="shared" si="9"/>
        <v>[TestCase(-360,0)]</v>
      </c>
      <c r="N21" t="str">
        <f t="shared" si="10"/>
        <v>[TestCase(-360,1)]</v>
      </c>
      <c r="O21" t="str">
        <f t="shared" si="11"/>
        <v>[TestCase(-360,0)]</v>
      </c>
      <c r="P21" t="str">
        <f t="shared" si="12"/>
        <v>[TestCase(-360,1)]</v>
      </c>
      <c r="Q21" t="str">
        <f t="shared" si="13"/>
        <v>[TestCase(-360,double.PositiveInfinity)]</v>
      </c>
      <c r="R21" t="str">
        <f t="shared" si="14"/>
        <v>[TestCase(-360,double.PositiveInfinity)]</v>
      </c>
      <c r="S21" t="str">
        <f t="shared" si="15"/>
        <v>[TestCase(-360,-267.744894)]</v>
      </c>
      <c r="T21" t="str">
        <f t="shared" si="16"/>
        <v>[TestCase(-360,267.746761)]</v>
      </c>
      <c r="U21" t="str">
        <f t="shared" si="17"/>
        <v>[TestCase(-360,-0.999993)]</v>
      </c>
    </row>
    <row r="23" spans="1:21" s="2" customFormat="1" x14ac:dyDescent="0.3">
      <c r="A23" s="2" t="s">
        <v>46</v>
      </c>
    </row>
    <row r="24" spans="1:21" s="2" customFormat="1" x14ac:dyDescent="0.3">
      <c r="D24" s="11" t="s">
        <v>51</v>
      </c>
      <c r="E24" s="12"/>
      <c r="F24" s="17"/>
      <c r="G24" s="11" t="s">
        <v>33</v>
      </c>
      <c r="H24" s="12"/>
      <c r="I24" s="17"/>
      <c r="J24" s="11" t="s">
        <v>32</v>
      </c>
      <c r="K24" s="12"/>
      <c r="L24" s="17"/>
      <c r="M24" s="2" t="s">
        <v>52</v>
      </c>
    </row>
    <row r="25" spans="1:21" x14ac:dyDescent="0.3">
      <c r="A25" s="6" t="s">
        <v>22</v>
      </c>
      <c r="B25" s="6" t="s">
        <v>23</v>
      </c>
      <c r="C25" s="6" t="s">
        <v>50</v>
      </c>
      <c r="D25" s="13" t="s">
        <v>47</v>
      </c>
      <c r="E25" s="14" t="s">
        <v>48</v>
      </c>
      <c r="F25" s="18" t="s">
        <v>49</v>
      </c>
      <c r="G25" s="13" t="s">
        <v>47</v>
      </c>
      <c r="H25" s="14" t="s">
        <v>48</v>
      </c>
      <c r="I25" s="18" t="s">
        <v>49</v>
      </c>
      <c r="J25" s="13" t="s">
        <v>47</v>
      </c>
      <c r="K25" s="14" t="s">
        <v>48</v>
      </c>
      <c r="L25" s="18" t="s">
        <v>49</v>
      </c>
      <c r="M25" s="13" t="s">
        <v>47</v>
      </c>
      <c r="N25" s="14" t="s">
        <v>48</v>
      </c>
      <c r="O25" s="18" t="s">
        <v>49</v>
      </c>
    </row>
    <row r="26" spans="1:21" x14ac:dyDescent="0.3">
      <c r="A26">
        <v>1</v>
      </c>
      <c r="B26">
        <v>0</v>
      </c>
      <c r="C26">
        <f t="shared" ref="C26:C35" si="19">SQRT(A26^2+B26^2)</f>
        <v>1</v>
      </c>
      <c r="D26" s="15">
        <f t="shared" ref="D26:D35" si="20">$B26/$C26</f>
        <v>0</v>
      </c>
      <c r="E26" s="16">
        <f t="shared" ref="E26:E35" si="21">$A26/$C26</f>
        <v>1</v>
      </c>
      <c r="F26" s="19">
        <f t="shared" ref="F26:F35" si="22">$B26/$A26</f>
        <v>0</v>
      </c>
      <c r="G26" s="15">
        <f t="shared" ref="G26:G35" si="23">ASIN(D26)</f>
        <v>0</v>
      </c>
      <c r="H26" s="16">
        <f t="shared" ref="H26:H35" si="24">ACOS(E26)</f>
        <v>0</v>
      </c>
      <c r="I26" s="19">
        <f t="shared" ref="I26:I35" si="25">ATAN(F26)</f>
        <v>0</v>
      </c>
      <c r="J26" s="15">
        <f t="shared" ref="J26:J35" si="26">DEGREES(G26)</f>
        <v>0</v>
      </c>
      <c r="K26" s="16">
        <f t="shared" ref="K26:K35" si="27">DEGREES(H26)</f>
        <v>0</v>
      </c>
      <c r="L26" s="19">
        <f t="shared" ref="L26:L35" si="28">DEGREES(I26)</f>
        <v>0</v>
      </c>
      <c r="M26" t="str">
        <f t="shared" ref="M26:O27" si="29">"[TestCase("&amp;ROUND(D26,6)&amp;","&amp;ROUND(G26,6)&amp;")]"</f>
        <v>[TestCase(0,0)]</v>
      </c>
      <c r="N26" t="str">
        <f t="shared" si="29"/>
        <v>[TestCase(1,0)]</v>
      </c>
      <c r="O26" t="str">
        <f t="shared" si="29"/>
        <v>[TestCase(0,0)]</v>
      </c>
    </row>
    <row r="27" spans="1:21" x14ac:dyDescent="0.3">
      <c r="A27">
        <v>1</v>
      </c>
      <c r="B27">
        <v>1</v>
      </c>
      <c r="C27">
        <f t="shared" si="19"/>
        <v>1.4142135623730951</v>
      </c>
      <c r="D27" s="15">
        <f t="shared" si="20"/>
        <v>0.70710678118654746</v>
      </c>
      <c r="E27" s="16">
        <f t="shared" si="21"/>
        <v>0.70710678118654746</v>
      </c>
      <c r="F27" s="19">
        <f t="shared" si="22"/>
        <v>1</v>
      </c>
      <c r="G27" s="15">
        <f t="shared" si="23"/>
        <v>0.78539816339744828</v>
      </c>
      <c r="H27" s="16">
        <f t="shared" si="24"/>
        <v>0.78539816339744828</v>
      </c>
      <c r="I27" s="19">
        <f t="shared" si="25"/>
        <v>0.78539816339744828</v>
      </c>
      <c r="J27" s="15">
        <f t="shared" si="26"/>
        <v>45</v>
      </c>
      <c r="K27" s="16">
        <f t="shared" si="27"/>
        <v>45</v>
      </c>
      <c r="L27" s="19">
        <f t="shared" si="28"/>
        <v>45</v>
      </c>
      <c r="M27" t="str">
        <f t="shared" si="29"/>
        <v>[TestCase(0.707107,0.785398)]</v>
      </c>
      <c r="N27" t="str">
        <f t="shared" si="29"/>
        <v>[TestCase(0.707107,0.785398)]</v>
      </c>
      <c r="O27" t="str">
        <f t="shared" si="29"/>
        <v>[TestCase(1,0.785398)]</v>
      </c>
    </row>
    <row r="28" spans="1:21" x14ac:dyDescent="0.3">
      <c r="A28">
        <v>0</v>
      </c>
      <c r="B28">
        <v>1</v>
      </c>
      <c r="C28">
        <f t="shared" si="19"/>
        <v>1</v>
      </c>
      <c r="D28" s="15">
        <f t="shared" si="20"/>
        <v>1</v>
      </c>
      <c r="E28" s="21">
        <f t="shared" si="21"/>
        <v>0</v>
      </c>
      <c r="F28" s="19" t="e">
        <f t="shared" si="22"/>
        <v>#DIV/0!</v>
      </c>
      <c r="G28" s="15">
        <f t="shared" si="23"/>
        <v>1.5707963267948966</v>
      </c>
      <c r="H28" s="16">
        <f t="shared" si="24"/>
        <v>1.5707963267948966</v>
      </c>
      <c r="I28" s="19" t="e">
        <f t="shared" si="25"/>
        <v>#DIV/0!</v>
      </c>
      <c r="J28" s="15">
        <f t="shared" si="26"/>
        <v>90</v>
      </c>
      <c r="K28" s="21">
        <f t="shared" si="27"/>
        <v>90</v>
      </c>
      <c r="L28" s="19" t="e">
        <f t="shared" si="28"/>
        <v>#DIV/0!</v>
      </c>
      <c r="M28" t="str">
        <f t="shared" ref="M28:N35" si="30">"[TestCase("&amp;ROUND(D28,6)&amp;","&amp;ROUND(G28,6)&amp;")]"</f>
        <v>[TestCase(1,1.570796)]</v>
      </c>
      <c r="N28" t="str">
        <f t="shared" si="30"/>
        <v>[TestCase(0,1.570796)]</v>
      </c>
      <c r="O28" s="20"/>
    </row>
    <row r="29" spans="1:21" x14ac:dyDescent="0.3">
      <c r="A29">
        <v>-1</v>
      </c>
      <c r="B29">
        <v>1</v>
      </c>
      <c r="C29">
        <f t="shared" si="19"/>
        <v>1.4142135623730951</v>
      </c>
      <c r="D29" s="15">
        <f t="shared" si="20"/>
        <v>0.70710678118654746</v>
      </c>
      <c r="E29" s="21">
        <f t="shared" si="21"/>
        <v>-0.70710678118654746</v>
      </c>
      <c r="F29" s="19">
        <f t="shared" si="22"/>
        <v>-1</v>
      </c>
      <c r="G29" s="15">
        <f t="shared" si="23"/>
        <v>0.78539816339744828</v>
      </c>
      <c r="H29" s="16">
        <f t="shared" si="24"/>
        <v>2.3561944901923448</v>
      </c>
      <c r="I29" s="19">
        <f t="shared" si="25"/>
        <v>-0.78539816339744828</v>
      </c>
      <c r="J29" s="15">
        <f t="shared" si="26"/>
        <v>45</v>
      </c>
      <c r="K29" s="21">
        <f t="shared" si="27"/>
        <v>135</v>
      </c>
      <c r="L29" s="19">
        <f t="shared" si="28"/>
        <v>-45</v>
      </c>
      <c r="M29" t="str">
        <f t="shared" si="30"/>
        <v>[TestCase(0.707107,0.785398)]</v>
      </c>
      <c r="N29" t="str">
        <f t="shared" si="30"/>
        <v>[TestCase(-0.707107,2.356194)]</v>
      </c>
      <c r="O29" t="str">
        <f>"[TestCase("&amp;ROUND(F29,6)&amp;","&amp;ROUND(I29,6)&amp;")]"</f>
        <v>[TestCase(-1,-0.785398)]</v>
      </c>
    </row>
    <row r="30" spans="1:21" x14ac:dyDescent="0.3">
      <c r="A30">
        <v>-1</v>
      </c>
      <c r="B30">
        <v>0</v>
      </c>
      <c r="C30">
        <f t="shared" si="19"/>
        <v>1</v>
      </c>
      <c r="D30" s="15">
        <f t="shared" si="20"/>
        <v>0</v>
      </c>
      <c r="E30" s="21">
        <f t="shared" si="21"/>
        <v>-1</v>
      </c>
      <c r="F30" s="19">
        <f t="shared" si="22"/>
        <v>0</v>
      </c>
      <c r="G30" s="15">
        <f t="shared" si="23"/>
        <v>0</v>
      </c>
      <c r="H30" s="16">
        <f t="shared" si="24"/>
        <v>3.1415926535897931</v>
      </c>
      <c r="I30" s="19">
        <f t="shared" si="25"/>
        <v>0</v>
      </c>
      <c r="J30" s="15">
        <f t="shared" si="26"/>
        <v>0</v>
      </c>
      <c r="K30" s="21">
        <f t="shared" si="27"/>
        <v>180</v>
      </c>
      <c r="L30" s="19">
        <f t="shared" si="28"/>
        <v>0</v>
      </c>
      <c r="M30" t="str">
        <f t="shared" si="30"/>
        <v>[TestCase(0,0)]</v>
      </c>
      <c r="N30" t="str">
        <f t="shared" si="30"/>
        <v>[TestCase(-1,3.141593)]</v>
      </c>
      <c r="O30" t="str">
        <f>"[TestCase("&amp;ROUND(F30,6)&amp;","&amp;ROUND(I30,6)&amp;")]"</f>
        <v>[TestCase(0,0)]</v>
      </c>
    </row>
    <row r="31" spans="1:21" x14ac:dyDescent="0.3">
      <c r="A31">
        <v>-1</v>
      </c>
      <c r="B31">
        <v>-1</v>
      </c>
      <c r="C31">
        <f t="shared" si="19"/>
        <v>1.4142135623730951</v>
      </c>
      <c r="D31" s="15">
        <f t="shared" si="20"/>
        <v>-0.70710678118654746</v>
      </c>
      <c r="E31" s="21">
        <f t="shared" si="21"/>
        <v>-0.70710678118654746</v>
      </c>
      <c r="F31" s="19">
        <f t="shared" si="22"/>
        <v>1</v>
      </c>
      <c r="G31" s="15">
        <f t="shared" si="23"/>
        <v>-0.78539816339744828</v>
      </c>
      <c r="H31" s="16">
        <f t="shared" si="24"/>
        <v>2.3561944901923448</v>
      </c>
      <c r="I31" s="19">
        <f t="shared" si="25"/>
        <v>0.78539816339744828</v>
      </c>
      <c r="J31" s="15">
        <f t="shared" si="26"/>
        <v>-45</v>
      </c>
      <c r="K31" s="21">
        <f t="shared" si="27"/>
        <v>135</v>
      </c>
      <c r="L31" s="19">
        <f t="shared" si="28"/>
        <v>45</v>
      </c>
      <c r="M31" t="str">
        <f t="shared" si="30"/>
        <v>[TestCase(-0.707107,-0.785398)]</v>
      </c>
      <c r="N31" t="str">
        <f t="shared" si="30"/>
        <v>[TestCase(-0.707107,2.356194)]</v>
      </c>
      <c r="O31" t="str">
        <f>"[TestCase("&amp;ROUND(F31,6)&amp;","&amp;ROUND(I31,6)&amp;")]"</f>
        <v>[TestCase(1,0.785398)]</v>
      </c>
    </row>
    <row r="32" spans="1:21" x14ac:dyDescent="0.3">
      <c r="A32">
        <v>0</v>
      </c>
      <c r="B32">
        <v>-1</v>
      </c>
      <c r="C32">
        <f t="shared" si="19"/>
        <v>1</v>
      </c>
      <c r="D32" s="15">
        <f t="shared" si="20"/>
        <v>-1</v>
      </c>
      <c r="E32" s="21">
        <f t="shared" si="21"/>
        <v>0</v>
      </c>
      <c r="F32" s="19" t="e">
        <f t="shared" si="22"/>
        <v>#DIV/0!</v>
      </c>
      <c r="G32" s="15">
        <f t="shared" si="23"/>
        <v>-1.5707963267948966</v>
      </c>
      <c r="H32" s="16">
        <f t="shared" si="24"/>
        <v>1.5707963267948966</v>
      </c>
      <c r="I32" s="19" t="e">
        <f t="shared" si="25"/>
        <v>#DIV/0!</v>
      </c>
      <c r="J32" s="15">
        <f t="shared" si="26"/>
        <v>-90</v>
      </c>
      <c r="K32" s="21">
        <f t="shared" si="27"/>
        <v>90</v>
      </c>
      <c r="L32" s="19" t="e">
        <f t="shared" si="28"/>
        <v>#DIV/0!</v>
      </c>
      <c r="M32" t="str">
        <f t="shared" si="30"/>
        <v>[TestCase(-1,-1.570796)]</v>
      </c>
      <c r="N32" t="str">
        <f t="shared" si="30"/>
        <v>[TestCase(0,1.570796)]</v>
      </c>
      <c r="O32" s="20"/>
    </row>
    <row r="33" spans="1:15" x14ac:dyDescent="0.3">
      <c r="A33">
        <v>1</v>
      </c>
      <c r="B33">
        <v>-1</v>
      </c>
      <c r="C33">
        <f t="shared" si="19"/>
        <v>1.4142135623730951</v>
      </c>
      <c r="D33" s="15">
        <f t="shared" si="20"/>
        <v>-0.70710678118654746</v>
      </c>
      <c r="E33" s="21">
        <f t="shared" si="21"/>
        <v>0.70710678118654746</v>
      </c>
      <c r="F33" s="19">
        <f t="shared" si="22"/>
        <v>-1</v>
      </c>
      <c r="G33" s="15">
        <f t="shared" si="23"/>
        <v>-0.78539816339744828</v>
      </c>
      <c r="H33" s="16">
        <f t="shared" si="24"/>
        <v>0.78539816339744828</v>
      </c>
      <c r="I33" s="19">
        <f t="shared" si="25"/>
        <v>-0.78539816339744828</v>
      </c>
      <c r="J33" s="15">
        <f t="shared" si="26"/>
        <v>-45</v>
      </c>
      <c r="K33" s="21">
        <f t="shared" si="27"/>
        <v>45</v>
      </c>
      <c r="L33" s="19">
        <f t="shared" si="28"/>
        <v>-45</v>
      </c>
      <c r="M33" t="str">
        <f t="shared" si="30"/>
        <v>[TestCase(-0.707107,-0.785398)]</v>
      </c>
      <c r="N33" t="str">
        <f t="shared" si="30"/>
        <v>[TestCase(0.707107,0.785398)]</v>
      </c>
      <c r="O33" t="str">
        <f>"[TestCase("&amp;ROUND(F33,6)&amp;","&amp;ROUND(I33,6)&amp;")]"</f>
        <v>[TestCase(-1,-0.785398)]</v>
      </c>
    </row>
    <row r="34" spans="1:15" x14ac:dyDescent="0.3">
      <c r="A34">
        <v>2</v>
      </c>
      <c r="B34">
        <v>1</v>
      </c>
      <c r="C34">
        <f t="shared" si="19"/>
        <v>2.2360679774997898</v>
      </c>
      <c r="D34" s="15">
        <f t="shared" si="20"/>
        <v>0.44721359549995793</v>
      </c>
      <c r="E34" s="16">
        <f t="shared" si="21"/>
        <v>0.89442719099991586</v>
      </c>
      <c r="F34" s="19">
        <f t="shared" si="22"/>
        <v>0.5</v>
      </c>
      <c r="G34" s="15">
        <f t="shared" si="23"/>
        <v>0.46364760900080609</v>
      </c>
      <c r="H34" s="16">
        <f t="shared" si="24"/>
        <v>0.46364760900080615</v>
      </c>
      <c r="I34" s="19">
        <f t="shared" si="25"/>
        <v>0.46364760900080609</v>
      </c>
      <c r="J34" s="15">
        <f t="shared" si="26"/>
        <v>26.56505117707799</v>
      </c>
      <c r="K34" s="16">
        <f t="shared" si="27"/>
        <v>26.565051177077994</v>
      </c>
      <c r="L34" s="19">
        <f t="shared" si="28"/>
        <v>26.56505117707799</v>
      </c>
      <c r="M34" t="str">
        <f t="shared" si="30"/>
        <v>[TestCase(0.447214,0.463648)]</v>
      </c>
      <c r="N34" t="str">
        <f t="shared" si="30"/>
        <v>[TestCase(0.894427,0.463648)]</v>
      </c>
      <c r="O34" t="str">
        <f>"[TestCase("&amp;ROUND(F34,6)&amp;","&amp;ROUND(I34,6)&amp;")]"</f>
        <v>[TestCase(0.5,0.463648)]</v>
      </c>
    </row>
    <row r="35" spans="1:15" x14ac:dyDescent="0.3">
      <c r="A35">
        <v>1</v>
      </c>
      <c r="B35">
        <v>2</v>
      </c>
      <c r="C35">
        <f t="shared" si="19"/>
        <v>2.2360679774997898</v>
      </c>
      <c r="D35" s="15">
        <f t="shared" si="20"/>
        <v>0.89442719099991586</v>
      </c>
      <c r="E35" s="16">
        <f t="shared" si="21"/>
        <v>0.44721359549995793</v>
      </c>
      <c r="F35" s="19">
        <f t="shared" si="22"/>
        <v>2</v>
      </c>
      <c r="G35" s="15">
        <f t="shared" si="23"/>
        <v>1.1071487177940904</v>
      </c>
      <c r="H35" s="16">
        <f t="shared" si="24"/>
        <v>1.1071487177940904</v>
      </c>
      <c r="I35" s="19">
        <f t="shared" si="25"/>
        <v>1.1071487177940904</v>
      </c>
      <c r="J35" s="15">
        <f t="shared" si="26"/>
        <v>63.43494882292201</v>
      </c>
      <c r="K35" s="16">
        <f t="shared" si="27"/>
        <v>63.43494882292201</v>
      </c>
      <c r="L35" s="19">
        <f t="shared" si="28"/>
        <v>63.43494882292201</v>
      </c>
      <c r="M35" t="str">
        <f t="shared" si="30"/>
        <v>[TestCase(0.894427,1.107149)]</v>
      </c>
      <c r="N35" t="str">
        <f t="shared" si="30"/>
        <v>[TestCase(0.447214,1.107149)]</v>
      </c>
      <c r="O35" t="str">
        <f>"[TestCase("&amp;ROUND(F35,6)&amp;","&amp;ROUND(I35,6)&amp;")]"</f>
        <v>[TestCase(2,1.107149)]</v>
      </c>
    </row>
    <row r="36" spans="1:15" x14ac:dyDescent="0.3">
      <c r="K36" s="16"/>
    </row>
    <row r="40" spans="1:15" x14ac:dyDescent="0.3">
      <c r="F40">
        <f>ATAN(3/2)</f>
        <v>0.98279372324732905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2FF0-D374-4E44-BAFE-C6C855E4487F}">
  <sheetPr codeName="Sheet5"/>
  <dimension ref="A1:H90"/>
  <sheetViews>
    <sheetView topLeftCell="A25" workbookViewId="0">
      <selection activeCell="M47" sqref="M47"/>
    </sheetView>
  </sheetViews>
  <sheetFormatPr defaultRowHeight="14.4" x14ac:dyDescent="0.3"/>
  <cols>
    <col min="1" max="1" width="12.21875" customWidth="1"/>
    <col min="2" max="2" width="13.44140625" bestFit="1" customWidth="1"/>
    <col min="3" max="3" width="17.88671875" bestFit="1" customWidth="1"/>
    <col min="4" max="4" width="13.44140625" bestFit="1" customWidth="1"/>
    <col min="5" max="5" width="11.21875" bestFit="1" customWidth="1"/>
    <col min="6" max="6" width="11.109375" bestFit="1" customWidth="1"/>
    <col min="9" max="9" width="11.21875" customWidth="1"/>
    <col min="10" max="11" width="11.44140625" customWidth="1"/>
    <col min="12" max="12" width="11.77734375" customWidth="1"/>
    <col min="16" max="16" width="11.109375" bestFit="1" customWidth="1"/>
    <col min="17" max="17" width="10.5546875" bestFit="1" customWidth="1"/>
  </cols>
  <sheetData>
    <row r="1" spans="1:7" s="2" customFormat="1" x14ac:dyDescent="0.3">
      <c r="A1" s="2" t="s">
        <v>327</v>
      </c>
    </row>
    <row r="2" spans="1:7" s="6" customFormat="1" x14ac:dyDescent="0.3">
      <c r="A2" s="6" t="s">
        <v>328</v>
      </c>
      <c r="B2" s="6" t="s">
        <v>329</v>
      </c>
      <c r="C2" s="6" t="s">
        <v>19</v>
      </c>
    </row>
    <row r="3" spans="1:7" x14ac:dyDescent="0.3">
      <c r="A3">
        <v>0</v>
      </c>
      <c r="B3">
        <v>0</v>
      </c>
      <c r="C3" t="e">
        <f>B3/A3</f>
        <v>#DIV/0!</v>
      </c>
      <c r="E3" s="55" t="str">
        <f>"[TestCase("&amp;A3&amp;", "&amp;B3&amp;")]"</f>
        <v>[TestCase(0, 0)]</v>
      </c>
    </row>
    <row r="4" spans="1:7" x14ac:dyDescent="0.3">
      <c r="A4">
        <v>0</v>
      </c>
      <c r="B4">
        <v>2</v>
      </c>
      <c r="C4" t="e">
        <f>B4/A4</f>
        <v>#DIV/0!</v>
      </c>
      <c r="E4" s="55" t="str">
        <f>"[TestCase("&amp;A4&amp;", "&amp;B4&amp;")]"</f>
        <v>[TestCase(0, 2)]</v>
      </c>
    </row>
    <row r="5" spans="1:7" x14ac:dyDescent="0.3">
      <c r="A5">
        <v>2</v>
      </c>
      <c r="B5">
        <v>0</v>
      </c>
      <c r="C5">
        <f t="shared" ref="C5:C9" si="0">B5/A5</f>
        <v>0</v>
      </c>
      <c r="E5" s="7" t="str">
        <f t="shared" ref="E5:E9" si="1">"[TestCase("&amp;A5&amp;", "&amp;B5&amp;", "&amp;ROUND(C5,6)&amp;")]"</f>
        <v>[TestCase(2, 0, 0)]</v>
      </c>
    </row>
    <row r="6" spans="1:7" x14ac:dyDescent="0.3">
      <c r="A6">
        <v>2</v>
      </c>
      <c r="B6">
        <v>4</v>
      </c>
      <c r="C6">
        <f t="shared" si="0"/>
        <v>2</v>
      </c>
      <c r="E6" s="7" t="str">
        <f t="shared" si="1"/>
        <v>[TestCase(2, 4, 2)]</v>
      </c>
    </row>
    <row r="7" spans="1:7" x14ac:dyDescent="0.3">
      <c r="A7">
        <v>-2</v>
      </c>
      <c r="B7">
        <v>4</v>
      </c>
      <c r="C7">
        <f t="shared" si="0"/>
        <v>-2</v>
      </c>
      <c r="E7" s="7" t="str">
        <f t="shared" si="1"/>
        <v>[TestCase(-2, 4, -2)]</v>
      </c>
    </row>
    <row r="8" spans="1:7" x14ac:dyDescent="0.3">
      <c r="A8">
        <v>2</v>
      </c>
      <c r="B8">
        <v>-4</v>
      </c>
      <c r="C8">
        <f t="shared" si="0"/>
        <v>-2</v>
      </c>
      <c r="E8" s="7" t="str">
        <f t="shared" si="1"/>
        <v>[TestCase(2, -4, -2)]</v>
      </c>
    </row>
    <row r="9" spans="1:7" x14ac:dyDescent="0.3">
      <c r="A9">
        <v>-2</v>
      </c>
      <c r="B9">
        <v>-4</v>
      </c>
      <c r="C9">
        <f t="shared" si="0"/>
        <v>2</v>
      </c>
      <c r="E9" s="7" t="str">
        <f t="shared" si="1"/>
        <v>[TestCase(-2, -4, 2)]</v>
      </c>
    </row>
    <row r="10" spans="1:7" x14ac:dyDescent="0.3">
      <c r="G10" s="7"/>
    </row>
    <row r="11" spans="1:7" s="2" customFormat="1" x14ac:dyDescent="0.3">
      <c r="A11" s="2" t="s">
        <v>330</v>
      </c>
    </row>
    <row r="12" spans="1:7" s="6" customFormat="1" x14ac:dyDescent="0.3">
      <c r="A12" s="6" t="s">
        <v>328</v>
      </c>
      <c r="B12" s="6" t="s">
        <v>329</v>
      </c>
      <c r="C12" s="6" t="s">
        <v>331</v>
      </c>
      <c r="D12" s="6" t="s">
        <v>332</v>
      </c>
      <c r="E12" s="6" t="s">
        <v>19</v>
      </c>
    </row>
    <row r="13" spans="1:7" x14ac:dyDescent="0.3">
      <c r="A13">
        <v>0</v>
      </c>
      <c r="B13">
        <v>0</v>
      </c>
      <c r="C13">
        <v>0</v>
      </c>
      <c r="D13">
        <v>0</v>
      </c>
      <c r="E13" t="e">
        <f>(A13*D13-B13*C13)/(A13^2+B13^2)^(3/2)</f>
        <v>#DIV/0!</v>
      </c>
      <c r="G13" s="55" t="str">
        <f>"[TestCase("&amp;A13&amp;", "&amp;B13&amp;", "&amp;C13&amp;", "&amp;D13&amp;")]"</f>
        <v>[TestCase(0, 0, 0, 0)]</v>
      </c>
    </row>
    <row r="14" spans="1:7" x14ac:dyDescent="0.3">
      <c r="A14">
        <v>2</v>
      </c>
      <c r="B14">
        <v>0</v>
      </c>
      <c r="C14">
        <v>0</v>
      </c>
      <c r="D14">
        <v>0</v>
      </c>
      <c r="E14">
        <f t="shared" ref="E14:E26" si="2">(A14*D14-B14*C14)/(A14^2+B14^2)^(3/2)</f>
        <v>0</v>
      </c>
      <c r="G14" s="7" t="str">
        <f t="shared" ref="G14:G26" si="3">"[TestCase("&amp;A14&amp;", "&amp;B14&amp;", "&amp;C14&amp;", "&amp;D14&amp;", "&amp;ROUND(E14,6)&amp;")]"</f>
        <v>[TestCase(2, 0, 0, 0, 0)]</v>
      </c>
    </row>
    <row r="15" spans="1:7" x14ac:dyDescent="0.3">
      <c r="A15">
        <v>0</v>
      </c>
      <c r="B15">
        <v>2</v>
      </c>
      <c r="C15">
        <v>0</v>
      </c>
      <c r="D15">
        <v>0</v>
      </c>
      <c r="E15">
        <f t="shared" si="2"/>
        <v>0</v>
      </c>
      <c r="G15" s="7" t="str">
        <f t="shared" si="3"/>
        <v>[TestCase(0, 2, 0, 0, 0)]</v>
      </c>
    </row>
    <row r="16" spans="1:7" x14ac:dyDescent="0.3">
      <c r="A16">
        <v>2</v>
      </c>
      <c r="B16">
        <v>4</v>
      </c>
      <c r="C16">
        <v>0</v>
      </c>
      <c r="D16">
        <v>0</v>
      </c>
      <c r="E16">
        <f t="shared" si="2"/>
        <v>0</v>
      </c>
      <c r="G16" s="7" t="str">
        <f t="shared" si="3"/>
        <v>[TestCase(2, 4, 0, 0, 0)]</v>
      </c>
    </row>
    <row r="17" spans="1:7" x14ac:dyDescent="0.3">
      <c r="A17">
        <v>2</v>
      </c>
      <c r="B17">
        <v>0</v>
      </c>
      <c r="C17">
        <v>0</v>
      </c>
      <c r="D17">
        <v>0</v>
      </c>
      <c r="E17">
        <f t="shared" si="2"/>
        <v>0</v>
      </c>
      <c r="G17" s="7" t="str">
        <f t="shared" si="3"/>
        <v>[TestCase(2, 0, 0, 0, 0)]</v>
      </c>
    </row>
    <row r="18" spans="1:7" x14ac:dyDescent="0.3">
      <c r="A18">
        <v>2</v>
      </c>
      <c r="B18">
        <v>0</v>
      </c>
      <c r="C18">
        <v>0</v>
      </c>
      <c r="D18">
        <v>0</v>
      </c>
      <c r="E18">
        <f t="shared" si="2"/>
        <v>0</v>
      </c>
      <c r="G18" s="7" t="str">
        <f t="shared" si="3"/>
        <v>[TestCase(2, 0, 0, 0, 0)]</v>
      </c>
    </row>
    <row r="19" spans="1:7" x14ac:dyDescent="0.3">
      <c r="A19">
        <v>2</v>
      </c>
      <c r="B19">
        <v>4</v>
      </c>
      <c r="C19">
        <v>0</v>
      </c>
      <c r="D19">
        <v>0</v>
      </c>
      <c r="E19">
        <f t="shared" si="2"/>
        <v>0</v>
      </c>
      <c r="G19" s="7" t="str">
        <f t="shared" si="3"/>
        <v>[TestCase(2, 4, 0, 0, 0)]</v>
      </c>
    </row>
    <row r="20" spans="1:7" x14ac:dyDescent="0.3">
      <c r="A20">
        <v>2</v>
      </c>
      <c r="B20">
        <v>4</v>
      </c>
      <c r="C20">
        <v>2</v>
      </c>
      <c r="D20">
        <v>0</v>
      </c>
      <c r="E20">
        <f t="shared" si="2"/>
        <v>-8.9442719099991588E-2</v>
      </c>
      <c r="G20" s="7" t="str">
        <f t="shared" si="3"/>
        <v>[TestCase(2, 4, 2, 0, -0.089443)]</v>
      </c>
    </row>
    <row r="21" spans="1:7" x14ac:dyDescent="0.3">
      <c r="A21">
        <v>2</v>
      </c>
      <c r="B21">
        <v>4</v>
      </c>
      <c r="C21">
        <v>0</v>
      </c>
      <c r="D21">
        <v>2</v>
      </c>
      <c r="E21">
        <f t="shared" si="2"/>
        <v>4.4721359549995794E-2</v>
      </c>
      <c r="G21" s="7" t="str">
        <f t="shared" si="3"/>
        <v>[TestCase(2, 4, 0, 2, 0.044721)]</v>
      </c>
    </row>
    <row r="22" spans="1:7" x14ac:dyDescent="0.3">
      <c r="A22">
        <v>0</v>
      </c>
      <c r="B22">
        <v>4</v>
      </c>
      <c r="C22">
        <v>0</v>
      </c>
      <c r="D22">
        <v>2</v>
      </c>
      <c r="E22">
        <f t="shared" si="2"/>
        <v>0</v>
      </c>
      <c r="G22" s="7" t="str">
        <f t="shared" si="3"/>
        <v>[TestCase(0, 4, 0, 2, 0)]</v>
      </c>
    </row>
    <row r="23" spans="1:7" x14ac:dyDescent="0.3">
      <c r="A23">
        <v>2</v>
      </c>
      <c r="B23">
        <v>0</v>
      </c>
      <c r="C23">
        <v>2</v>
      </c>
      <c r="D23">
        <v>0</v>
      </c>
      <c r="E23">
        <f t="shared" si="2"/>
        <v>0</v>
      </c>
      <c r="G23" s="7" t="str">
        <f t="shared" si="3"/>
        <v>[TestCase(2, 0, 2, 0, 0)]</v>
      </c>
    </row>
    <row r="24" spans="1:7" x14ac:dyDescent="0.3">
      <c r="A24">
        <v>2</v>
      </c>
      <c r="B24">
        <v>3</v>
      </c>
      <c r="C24">
        <v>4</v>
      </c>
      <c r="D24">
        <v>5</v>
      </c>
      <c r="E24">
        <f t="shared" si="2"/>
        <v>-4.2669245863479158E-2</v>
      </c>
      <c r="G24" s="7" t="str">
        <f t="shared" si="3"/>
        <v>[TestCase(2, 3, 4, 5, -0.042669)]</v>
      </c>
    </row>
    <row r="25" spans="1:7" x14ac:dyDescent="0.3">
      <c r="A25">
        <v>-2</v>
      </c>
      <c r="B25">
        <v>3</v>
      </c>
      <c r="C25">
        <v>-4</v>
      </c>
      <c r="D25">
        <v>5</v>
      </c>
      <c r="E25">
        <f t="shared" si="2"/>
        <v>4.2669245863479158E-2</v>
      </c>
      <c r="G25" s="7" t="str">
        <f t="shared" si="3"/>
        <v>[TestCase(-2, 3, -4, 5, 0.042669)]</v>
      </c>
    </row>
    <row r="26" spans="1:7" x14ac:dyDescent="0.3">
      <c r="A26">
        <v>2</v>
      </c>
      <c r="B26">
        <v>-3</v>
      </c>
      <c r="C26">
        <v>4</v>
      </c>
      <c r="D26">
        <v>-5</v>
      </c>
      <c r="E26">
        <f t="shared" si="2"/>
        <v>4.2669245863479158E-2</v>
      </c>
      <c r="G26" s="7" t="str">
        <f t="shared" si="3"/>
        <v>[TestCase(2, -3, 4, -5, 0.042669)]</v>
      </c>
    </row>
    <row r="27" spans="1:7" s="3" customFormat="1" x14ac:dyDescent="0.3"/>
    <row r="28" spans="1:7" s="2" customFormat="1" x14ac:dyDescent="0.3">
      <c r="A28" s="2" t="s">
        <v>333</v>
      </c>
    </row>
    <row r="29" spans="1:7" s="6" customFormat="1" x14ac:dyDescent="0.3">
      <c r="A29" s="6" t="s">
        <v>329</v>
      </c>
      <c r="B29" s="6" t="s">
        <v>19</v>
      </c>
    </row>
    <row r="30" spans="1:7" x14ac:dyDescent="0.3">
      <c r="A30">
        <v>0</v>
      </c>
      <c r="B30">
        <f>A30</f>
        <v>0</v>
      </c>
      <c r="G30" s="7" t="str">
        <f>"[TestCase("&amp;A30&amp;", "&amp;ROUND(B30,6)&amp;")]"</f>
        <v>[TestCase(0, 0)]</v>
      </c>
    </row>
    <row r="31" spans="1:7" x14ac:dyDescent="0.3">
      <c r="A31">
        <v>2</v>
      </c>
      <c r="B31">
        <f t="shared" ref="B31:B32" si="4">A31</f>
        <v>2</v>
      </c>
      <c r="G31" s="7" t="str">
        <f t="shared" ref="G31:G32" si="5">"[TestCase("&amp;A31&amp;", "&amp;ROUND(B31,6)&amp;")]"</f>
        <v>[TestCase(2, 2)]</v>
      </c>
    </row>
    <row r="32" spans="1:7" x14ac:dyDescent="0.3">
      <c r="A32">
        <v>-2</v>
      </c>
      <c r="B32">
        <f t="shared" si="4"/>
        <v>-2</v>
      </c>
      <c r="G32" s="7" t="str">
        <f t="shared" si="5"/>
        <v>[TestCase(-2, -2)]</v>
      </c>
    </row>
    <row r="34" spans="1:7" s="2" customFormat="1" x14ac:dyDescent="0.3">
      <c r="A34" s="2" t="s">
        <v>334</v>
      </c>
    </row>
    <row r="35" spans="1:7" s="6" customFormat="1" x14ac:dyDescent="0.3">
      <c r="A35" s="6" t="s">
        <v>329</v>
      </c>
      <c r="B35" s="6" t="s">
        <v>332</v>
      </c>
      <c r="C35" s="6" t="s">
        <v>19</v>
      </c>
    </row>
    <row r="36" spans="1:7" x14ac:dyDescent="0.3">
      <c r="A36">
        <v>0</v>
      </c>
      <c r="B36">
        <v>0</v>
      </c>
      <c r="C36">
        <f>B36/(1+A36^2)^(3/2)</f>
        <v>0</v>
      </c>
      <c r="G36" s="7" t="str">
        <f>"[TestCase("&amp;A36&amp;", "&amp;B36&amp;", "&amp;ROUND(C36,6)&amp;")]"</f>
        <v>[TestCase(0, 0, 0)]</v>
      </c>
    </row>
    <row r="37" spans="1:7" x14ac:dyDescent="0.3">
      <c r="A37">
        <v>2</v>
      </c>
      <c r="B37">
        <v>0</v>
      </c>
      <c r="C37">
        <f t="shared" ref="C37:C42" si="6">B37/(1+A37^2)^(3/2)</f>
        <v>0</v>
      </c>
      <c r="G37" s="7" t="str">
        <f t="shared" ref="G37:G42" si="7">"[TestCase("&amp;A37&amp;", "&amp;B37&amp;", "&amp;ROUND(C37,6)&amp;")]"</f>
        <v>[TestCase(2, 0, 0)]</v>
      </c>
    </row>
    <row r="38" spans="1:7" x14ac:dyDescent="0.3">
      <c r="A38">
        <v>0</v>
      </c>
      <c r="B38">
        <v>2</v>
      </c>
      <c r="C38">
        <f t="shared" si="6"/>
        <v>2</v>
      </c>
      <c r="G38" s="7" t="str">
        <f t="shared" si="7"/>
        <v>[TestCase(0, 2, 2)]</v>
      </c>
    </row>
    <row r="39" spans="1:7" x14ac:dyDescent="0.3">
      <c r="A39">
        <v>2</v>
      </c>
      <c r="B39">
        <v>4</v>
      </c>
      <c r="C39">
        <f t="shared" si="6"/>
        <v>0.35777087639996646</v>
      </c>
      <c r="G39" s="7" t="str">
        <f t="shared" si="7"/>
        <v>[TestCase(2, 4, 0.357771)]</v>
      </c>
    </row>
    <row r="40" spans="1:7" x14ac:dyDescent="0.3">
      <c r="A40">
        <v>-2</v>
      </c>
      <c r="B40">
        <v>4</v>
      </c>
      <c r="C40">
        <f t="shared" si="6"/>
        <v>0.35777087639996646</v>
      </c>
      <c r="G40" s="7" t="str">
        <f t="shared" si="7"/>
        <v>[TestCase(-2, 4, 0.357771)]</v>
      </c>
    </row>
    <row r="41" spans="1:7" x14ac:dyDescent="0.3">
      <c r="A41">
        <v>2</v>
      </c>
      <c r="B41">
        <v>-4</v>
      </c>
      <c r="C41">
        <f t="shared" si="6"/>
        <v>-0.35777087639996646</v>
      </c>
      <c r="G41" s="7" t="str">
        <f t="shared" si="7"/>
        <v>[TestCase(2, -4, -0.357771)]</v>
      </c>
    </row>
    <row r="42" spans="1:7" x14ac:dyDescent="0.3">
      <c r="A42">
        <v>-2</v>
      </c>
      <c r="B42">
        <v>-4</v>
      </c>
      <c r="C42">
        <f t="shared" si="6"/>
        <v>-0.35777087639996646</v>
      </c>
      <c r="G42" s="7" t="str">
        <f t="shared" si="7"/>
        <v>[TestCase(-2, -4, -0.357771)]</v>
      </c>
    </row>
    <row r="44" spans="1:7" s="2" customFormat="1" x14ac:dyDescent="0.3">
      <c r="A44" s="2" t="s">
        <v>335</v>
      </c>
    </row>
    <row r="45" spans="1:7" s="6" customFormat="1" x14ac:dyDescent="0.3">
      <c r="A45" s="6" t="s">
        <v>336</v>
      </c>
      <c r="B45" s="6" t="s">
        <v>149</v>
      </c>
      <c r="C45" s="6" t="s">
        <v>337</v>
      </c>
      <c r="D45" s="6" t="s">
        <v>19</v>
      </c>
    </row>
    <row r="46" spans="1:7" x14ac:dyDescent="0.3">
      <c r="A46">
        <v>0</v>
      </c>
      <c r="B46">
        <v>0</v>
      </c>
      <c r="C46">
        <v>0</v>
      </c>
      <c r="D46" t="e">
        <f t="shared" ref="D46:D53" si="8">(C46*SIN(A46)+B46*COS(A46))/(C46*COS(A46)-B46*SIN(A46))</f>
        <v>#DIV/0!</v>
      </c>
      <c r="G46" s="55" t="str">
        <f>"[TestCase("&amp;A46&amp;", "&amp;B46&amp;", "&amp;C46&amp;")]"</f>
        <v>[TestCase(0, 0, 0)]</v>
      </c>
    </row>
    <row r="47" spans="1:7" x14ac:dyDescent="0.3">
      <c r="A47">
        <v>2</v>
      </c>
      <c r="B47">
        <v>0</v>
      </c>
      <c r="C47">
        <v>0</v>
      </c>
      <c r="D47" t="e">
        <f t="shared" si="8"/>
        <v>#DIV/0!</v>
      </c>
      <c r="G47" s="55" t="str">
        <f t="shared" ref="G47:G48" si="9">"[TestCase("&amp;A47&amp;", "&amp;B47&amp;", "&amp;C47&amp;")]"</f>
        <v>[TestCase(2, 0, 0)]</v>
      </c>
    </row>
    <row r="48" spans="1:7" x14ac:dyDescent="0.3">
      <c r="A48">
        <v>0</v>
      </c>
      <c r="B48">
        <v>2</v>
      </c>
      <c r="C48">
        <v>0</v>
      </c>
      <c r="D48" t="e">
        <f t="shared" si="8"/>
        <v>#DIV/0!</v>
      </c>
      <c r="G48" s="55" t="str">
        <f t="shared" si="9"/>
        <v>[TestCase(0, 2, 0)]</v>
      </c>
    </row>
    <row r="49" spans="1:7" x14ac:dyDescent="0.3">
      <c r="A49">
        <v>0</v>
      </c>
      <c r="B49">
        <v>0</v>
      </c>
      <c r="C49">
        <v>2</v>
      </c>
      <c r="D49">
        <f t="shared" si="8"/>
        <v>0</v>
      </c>
      <c r="G49" s="7" t="str">
        <f t="shared" ref="G49:G53" si="10">"[TestCase("&amp;A49&amp;", "&amp;B49&amp;", "&amp;C49&amp;", "&amp;ROUND(D49,6)&amp;")]"</f>
        <v>[TestCase(0, 0, 2, 0)]</v>
      </c>
    </row>
    <row r="50" spans="1:7" x14ac:dyDescent="0.3">
      <c r="A50">
        <v>0</v>
      </c>
      <c r="B50">
        <v>1</v>
      </c>
      <c r="C50">
        <v>2</v>
      </c>
      <c r="D50">
        <f t="shared" si="8"/>
        <v>0.5</v>
      </c>
      <c r="G50" s="7" t="str">
        <f t="shared" si="10"/>
        <v>[TestCase(0, 1, 2, 0.5)]</v>
      </c>
    </row>
    <row r="51" spans="1:7" x14ac:dyDescent="0.3">
      <c r="A51">
        <v>2</v>
      </c>
      <c r="B51">
        <v>3</v>
      </c>
      <c r="C51">
        <v>4</v>
      </c>
      <c r="D51">
        <f t="shared" si="8"/>
        <v>-0.54382704091780354</v>
      </c>
      <c r="G51" s="7" t="str">
        <f t="shared" si="10"/>
        <v>[TestCase(2, 3, 4, -0.543827)]</v>
      </c>
    </row>
    <row r="52" spans="1:7" x14ac:dyDescent="0.3">
      <c r="A52">
        <v>-2</v>
      </c>
      <c r="B52">
        <v>3</v>
      </c>
      <c r="C52">
        <v>4</v>
      </c>
      <c r="D52">
        <f t="shared" si="8"/>
        <v>-4.5947592824944792</v>
      </c>
      <c r="G52" s="7" t="str">
        <f t="shared" si="10"/>
        <v>[TestCase(-2, 3, 4, -4.594759)]</v>
      </c>
    </row>
    <row r="53" spans="1:7" x14ac:dyDescent="0.3">
      <c r="A53">
        <v>2</v>
      </c>
      <c r="B53">
        <v>-3</v>
      </c>
      <c r="C53">
        <v>-4</v>
      </c>
      <c r="D53">
        <f t="shared" si="8"/>
        <v>-0.54382704091780354</v>
      </c>
      <c r="G53" s="7" t="str">
        <f t="shared" si="10"/>
        <v>[TestCase(2, -3, -4, -0.543827)]</v>
      </c>
    </row>
    <row r="55" spans="1:7" s="2" customFormat="1" x14ac:dyDescent="0.3">
      <c r="A55" s="2" t="s">
        <v>338</v>
      </c>
    </row>
    <row r="56" spans="1:7" s="6" customFormat="1" x14ac:dyDescent="0.3">
      <c r="A56" s="6" t="s">
        <v>149</v>
      </c>
      <c r="B56" s="6" t="s">
        <v>337</v>
      </c>
      <c r="C56" s="6" t="s">
        <v>339</v>
      </c>
      <c r="D56" s="6" t="s">
        <v>19</v>
      </c>
    </row>
    <row r="57" spans="1:7" x14ac:dyDescent="0.3">
      <c r="A57">
        <v>0</v>
      </c>
      <c r="B57">
        <v>0</v>
      </c>
      <c r="C57">
        <v>0</v>
      </c>
      <c r="D57" t="e">
        <f>ABS(A57^2+2*B57^2-A57*C57)/(A57^2+B57^2)^(3/2)</f>
        <v>#DIV/0!</v>
      </c>
      <c r="G57" s="55" t="str">
        <f>"[TestCase("&amp;A57&amp;", "&amp;B57&amp;", "&amp;C57&amp;")]"</f>
        <v>[TestCase(0, 0, 0)]</v>
      </c>
    </row>
    <row r="58" spans="1:7" x14ac:dyDescent="0.3">
      <c r="A58">
        <v>0</v>
      </c>
      <c r="B58">
        <v>0</v>
      </c>
      <c r="C58">
        <v>2</v>
      </c>
      <c r="D58" t="e">
        <f>ABS(A58^2+2*B58^2-A58*C58)/(A58^2+B58^2)^(3/2)</f>
        <v>#DIV/0!</v>
      </c>
      <c r="G58" s="55" t="str">
        <f>"[TestCase("&amp;A58&amp;", "&amp;B58&amp;", "&amp;C58&amp;")]"</f>
        <v>[TestCase(0, 0, 2)]</v>
      </c>
    </row>
    <row r="59" spans="1:7" x14ac:dyDescent="0.3">
      <c r="A59">
        <v>2</v>
      </c>
      <c r="B59">
        <v>0</v>
      </c>
      <c r="C59">
        <v>0</v>
      </c>
      <c r="D59">
        <f t="shared" ref="D59:D65" si="11">ABS(A59^2+2*B59^2-A59*C59)/(A59^2+B59^2)^(3/2)</f>
        <v>0.50000000000000011</v>
      </c>
      <c r="G59" s="7" t="str">
        <f t="shared" ref="G59:G65" si="12">"[TestCase("&amp;A59&amp;", "&amp;B59&amp;", "&amp;C59&amp;", "&amp;ROUND(D59,6)&amp;")]"</f>
        <v>[TestCase(2, 0, 0, 0.5)]</v>
      </c>
    </row>
    <row r="60" spans="1:7" x14ac:dyDescent="0.3">
      <c r="A60">
        <v>0</v>
      </c>
      <c r="B60">
        <v>2</v>
      </c>
      <c r="C60">
        <v>0</v>
      </c>
      <c r="D60">
        <f t="shared" si="11"/>
        <v>1.0000000000000002</v>
      </c>
      <c r="G60" s="7" t="str">
        <f t="shared" si="12"/>
        <v>[TestCase(0, 2, 0, 1)]</v>
      </c>
    </row>
    <row r="61" spans="1:7" x14ac:dyDescent="0.3">
      <c r="A61">
        <v>0</v>
      </c>
      <c r="B61">
        <v>2</v>
      </c>
      <c r="C61">
        <v>3</v>
      </c>
      <c r="D61">
        <f t="shared" si="11"/>
        <v>1.0000000000000002</v>
      </c>
      <c r="G61" s="7" t="str">
        <f t="shared" si="12"/>
        <v>[TestCase(0, 2, 3, 1)]</v>
      </c>
    </row>
    <row r="62" spans="1:7" x14ac:dyDescent="0.3">
      <c r="A62">
        <v>2</v>
      </c>
      <c r="B62">
        <v>3</v>
      </c>
      <c r="C62">
        <v>4</v>
      </c>
      <c r="D62">
        <f t="shared" si="11"/>
        <v>0.29868472104435406</v>
      </c>
      <c r="G62" s="7" t="str">
        <f t="shared" si="12"/>
        <v>[TestCase(2, 3, 4, 0.298685)]</v>
      </c>
    </row>
    <row r="63" spans="1:7" x14ac:dyDescent="0.3">
      <c r="A63">
        <v>-2</v>
      </c>
      <c r="B63">
        <v>3</v>
      </c>
      <c r="C63">
        <v>4</v>
      </c>
      <c r="D63">
        <f t="shared" si="11"/>
        <v>0.64003868795218732</v>
      </c>
      <c r="G63" s="7" t="str">
        <f t="shared" si="12"/>
        <v>[TestCase(-2, 3, 4, 0.640039)]</v>
      </c>
    </row>
    <row r="64" spans="1:7" x14ac:dyDescent="0.3">
      <c r="A64">
        <v>2</v>
      </c>
      <c r="B64">
        <v>-3</v>
      </c>
      <c r="C64">
        <v>4</v>
      </c>
      <c r="D64">
        <f t="shared" si="11"/>
        <v>0.29868472104435406</v>
      </c>
      <c r="G64" s="7" t="str">
        <f t="shared" si="12"/>
        <v>[TestCase(2, -3, 4, 0.298685)]</v>
      </c>
    </row>
    <row r="65" spans="1:8" x14ac:dyDescent="0.3">
      <c r="A65">
        <v>2</v>
      </c>
      <c r="B65">
        <v>3</v>
      </c>
      <c r="C65">
        <v>-4</v>
      </c>
      <c r="D65">
        <f t="shared" si="11"/>
        <v>0.64003868795218732</v>
      </c>
      <c r="G65" s="7" t="str">
        <f t="shared" si="12"/>
        <v>[TestCase(2, 3, -4, 0.640039)]</v>
      </c>
    </row>
    <row r="67" spans="1:8" s="2" customFormat="1" x14ac:dyDescent="0.3">
      <c r="A67" s="2" t="s">
        <v>340</v>
      </c>
    </row>
    <row r="68" spans="1:8" s="6" customFormat="1" x14ac:dyDescent="0.3">
      <c r="A68" s="6" t="s">
        <v>341</v>
      </c>
      <c r="B68" s="6" t="s">
        <v>342</v>
      </c>
      <c r="C68" s="6" t="s">
        <v>19</v>
      </c>
    </row>
    <row r="69" spans="1:8" x14ac:dyDescent="0.3">
      <c r="A69">
        <v>0</v>
      </c>
      <c r="B69">
        <v>0</v>
      </c>
      <c r="C69" t="e">
        <f>-A69/B69</f>
        <v>#DIV/0!</v>
      </c>
      <c r="G69" s="55" t="str">
        <f>"[TestCase("&amp;A69&amp;", "&amp;B69&amp;")]"</f>
        <v>[TestCase(0, 0)]</v>
      </c>
    </row>
    <row r="70" spans="1:8" x14ac:dyDescent="0.3">
      <c r="A70">
        <v>2</v>
      </c>
      <c r="B70">
        <v>0</v>
      </c>
      <c r="C70" t="e">
        <f t="shared" ref="C70:C75" si="13">-A70/B70</f>
        <v>#DIV/0!</v>
      </c>
      <c r="G70" s="55" t="str">
        <f>"[TestCase("&amp;A70&amp;", "&amp;B70&amp;")]"</f>
        <v>[TestCase(2, 0)]</v>
      </c>
    </row>
    <row r="71" spans="1:8" x14ac:dyDescent="0.3">
      <c r="A71">
        <v>0</v>
      </c>
      <c r="B71">
        <v>2</v>
      </c>
      <c r="C71">
        <f t="shared" si="13"/>
        <v>0</v>
      </c>
      <c r="G71" s="7" t="str">
        <f t="shared" ref="G71:G75" si="14">"[TestCase("&amp;A71&amp;", "&amp;B71&amp;", "&amp;ROUND(C71,6)&amp;")]"</f>
        <v>[TestCase(0, 2, 0)]</v>
      </c>
    </row>
    <row r="72" spans="1:8" x14ac:dyDescent="0.3">
      <c r="A72">
        <v>2</v>
      </c>
      <c r="B72">
        <v>4</v>
      </c>
      <c r="C72">
        <f t="shared" si="13"/>
        <v>-0.5</v>
      </c>
      <c r="G72" s="7" t="str">
        <f t="shared" si="14"/>
        <v>[TestCase(2, 4, -0.5)]</v>
      </c>
    </row>
    <row r="73" spans="1:8" x14ac:dyDescent="0.3">
      <c r="A73">
        <v>-2</v>
      </c>
      <c r="B73">
        <v>4</v>
      </c>
      <c r="C73">
        <f t="shared" si="13"/>
        <v>0.5</v>
      </c>
      <c r="G73" s="7" t="str">
        <f t="shared" si="14"/>
        <v>[TestCase(-2, 4, 0.5)]</v>
      </c>
    </row>
    <row r="74" spans="1:8" x14ac:dyDescent="0.3">
      <c r="A74">
        <v>2</v>
      </c>
      <c r="B74">
        <v>-4</v>
      </c>
      <c r="C74">
        <f t="shared" si="13"/>
        <v>0.5</v>
      </c>
      <c r="G74" s="7" t="str">
        <f t="shared" si="14"/>
        <v>[TestCase(2, -4, 0.5)]</v>
      </c>
    </row>
    <row r="75" spans="1:8" x14ac:dyDescent="0.3">
      <c r="A75">
        <v>-2</v>
      </c>
      <c r="B75">
        <v>-4</v>
      </c>
      <c r="C75">
        <f t="shared" si="13"/>
        <v>-0.5</v>
      </c>
      <c r="G75" s="7" t="str">
        <f t="shared" si="14"/>
        <v>[TestCase(-2, -4, -0.5)]</v>
      </c>
    </row>
    <row r="77" spans="1:8" s="2" customFormat="1" x14ac:dyDescent="0.3">
      <c r="A77" s="2" t="s">
        <v>343</v>
      </c>
    </row>
    <row r="78" spans="1:8" s="6" customFormat="1" x14ac:dyDescent="0.3">
      <c r="A78" s="6" t="s">
        <v>341</v>
      </c>
      <c r="B78" s="6" t="s">
        <v>342</v>
      </c>
      <c r="C78" s="6" t="s">
        <v>344</v>
      </c>
      <c r="D78" s="6" t="s">
        <v>345</v>
      </c>
      <c r="E78" s="6" t="s">
        <v>346</v>
      </c>
      <c r="F78" s="6" t="s">
        <v>19</v>
      </c>
    </row>
    <row r="79" spans="1:8" x14ac:dyDescent="0.3">
      <c r="A79">
        <v>0</v>
      </c>
      <c r="B79">
        <v>0</v>
      </c>
      <c r="C79">
        <v>0</v>
      </c>
      <c r="D79">
        <v>0</v>
      </c>
      <c r="E79">
        <v>0</v>
      </c>
      <c r="F79" t="e">
        <f>ABS(B79^2*C79-2*A79*B79*D79+A79^2*E79)/(A79^2+B79^2)^(3/2)</f>
        <v>#DIV/0!</v>
      </c>
      <c r="H79" s="55" t="str">
        <f>"[TestCase("&amp;A79&amp;", "&amp;B79&amp;", "&amp;C79&amp;", "&amp;D79&amp;", "&amp;E79&amp;")]"</f>
        <v>[TestCase(0, 0, 0, 0, 0)]</v>
      </c>
    </row>
    <row r="80" spans="1:8" x14ac:dyDescent="0.3">
      <c r="A80">
        <v>0</v>
      </c>
      <c r="B80">
        <v>0</v>
      </c>
      <c r="C80">
        <v>4</v>
      </c>
      <c r="D80">
        <v>5</v>
      </c>
      <c r="E80">
        <v>6</v>
      </c>
      <c r="F80" t="e">
        <f>ABS(B80^2*C80-2*A80*B80*D80+A80^2*E80)/(A80^2+B80^2)^(3/2)</f>
        <v>#DIV/0!</v>
      </c>
      <c r="H80" s="55" t="str">
        <f>"[TestCase("&amp;A80&amp;", "&amp;B80&amp;", "&amp;C80&amp;", "&amp;D80&amp;", "&amp;E80&amp;")]"</f>
        <v>[TestCase(0, 0, 4, 5, 6)]</v>
      </c>
    </row>
    <row r="81" spans="1:8" x14ac:dyDescent="0.3">
      <c r="A81">
        <v>2</v>
      </c>
      <c r="B81">
        <v>0</v>
      </c>
      <c r="C81">
        <v>0</v>
      </c>
      <c r="D81">
        <v>0</v>
      </c>
      <c r="E81">
        <v>0</v>
      </c>
      <c r="F81">
        <f t="shared" ref="F81:F90" si="15">ABS(B81^2*C81-2*A81*B81*D81+A81^2*E81)/(A81^2+B81^2)^(3/2)</f>
        <v>0</v>
      </c>
      <c r="H81" s="7" t="str">
        <f t="shared" ref="H81:H90" si="16">"[TestCase("&amp;A81&amp;", "&amp;B81&amp;", "&amp;C81&amp;", "&amp;D81&amp;", "&amp;E81&amp;", "&amp;ROUND(F81,6)&amp;")]"</f>
        <v>[TestCase(2, 0, 0, 0, 0, 0)]</v>
      </c>
    </row>
    <row r="82" spans="1:8" x14ac:dyDescent="0.3">
      <c r="A82">
        <v>0</v>
      </c>
      <c r="B82">
        <v>2</v>
      </c>
      <c r="C82">
        <v>0</v>
      </c>
      <c r="D82">
        <v>0</v>
      </c>
      <c r="E82">
        <v>0</v>
      </c>
      <c r="F82">
        <f t="shared" si="15"/>
        <v>0</v>
      </c>
      <c r="H82" s="7" t="str">
        <f t="shared" si="16"/>
        <v>[TestCase(0, 2, 0, 0, 0, 0)]</v>
      </c>
    </row>
    <row r="83" spans="1:8" x14ac:dyDescent="0.3">
      <c r="A83">
        <v>2</v>
      </c>
      <c r="B83">
        <v>0</v>
      </c>
      <c r="C83">
        <v>4</v>
      </c>
      <c r="D83">
        <v>5</v>
      </c>
      <c r="E83">
        <v>6</v>
      </c>
      <c r="F83">
        <f t="shared" si="15"/>
        <v>3.0000000000000009</v>
      </c>
      <c r="H83" s="7" t="str">
        <f t="shared" si="16"/>
        <v>[TestCase(2, 0, 4, 5, 6, 3)]</v>
      </c>
    </row>
    <row r="84" spans="1:8" x14ac:dyDescent="0.3">
      <c r="A84">
        <v>0</v>
      </c>
      <c r="B84">
        <v>3</v>
      </c>
      <c r="C84">
        <v>4</v>
      </c>
      <c r="D84">
        <v>5</v>
      </c>
      <c r="E84">
        <v>6</v>
      </c>
      <c r="F84">
        <f t="shared" si="15"/>
        <v>1.3333333333333333</v>
      </c>
      <c r="H84" s="7" t="str">
        <f t="shared" si="16"/>
        <v>[TestCase(0, 3, 4, 5, 6, 1.333333)]</v>
      </c>
    </row>
    <row r="85" spans="1:8" x14ac:dyDescent="0.3">
      <c r="A85">
        <v>2</v>
      </c>
      <c r="B85">
        <v>3</v>
      </c>
      <c r="C85">
        <v>0</v>
      </c>
      <c r="D85">
        <v>0</v>
      </c>
      <c r="E85">
        <v>0</v>
      </c>
      <c r="F85">
        <f t="shared" si="15"/>
        <v>0</v>
      </c>
      <c r="H85" s="7" t="str">
        <f t="shared" si="16"/>
        <v>[TestCase(2, 3, 0, 0, 0, 0)]</v>
      </c>
    </row>
    <row r="86" spans="1:8" x14ac:dyDescent="0.3">
      <c r="A86">
        <v>2</v>
      </c>
      <c r="B86">
        <v>3</v>
      </c>
      <c r="C86">
        <v>0</v>
      </c>
      <c r="D86">
        <v>5</v>
      </c>
      <c r="E86">
        <v>6</v>
      </c>
      <c r="F86">
        <f t="shared" si="15"/>
        <v>0.76804642554262481</v>
      </c>
      <c r="H86" s="7" t="str">
        <f t="shared" si="16"/>
        <v>[TestCase(2, 3, 0, 5, 6, 0.768046)]</v>
      </c>
    </row>
    <row r="87" spans="1:8" x14ac:dyDescent="0.3">
      <c r="A87">
        <v>2</v>
      </c>
      <c r="B87">
        <v>3</v>
      </c>
      <c r="C87">
        <v>4</v>
      </c>
      <c r="D87">
        <v>0</v>
      </c>
      <c r="E87">
        <v>6</v>
      </c>
      <c r="F87">
        <f t="shared" si="15"/>
        <v>1.2800773759043746</v>
      </c>
      <c r="H87" s="7" t="str">
        <f t="shared" si="16"/>
        <v>[TestCase(2, 3, 4, 0, 6, 1.280077)]</v>
      </c>
    </row>
    <row r="88" spans="1:8" x14ac:dyDescent="0.3">
      <c r="A88">
        <v>2</v>
      </c>
      <c r="B88">
        <v>3</v>
      </c>
      <c r="C88">
        <v>4</v>
      </c>
      <c r="D88">
        <v>5</v>
      </c>
      <c r="E88">
        <v>0</v>
      </c>
      <c r="F88">
        <f t="shared" si="15"/>
        <v>0.51203095036174984</v>
      </c>
      <c r="H88" s="7" t="str">
        <f t="shared" si="16"/>
        <v>[TestCase(2, 3, 4, 5, 0, 0.512031)]</v>
      </c>
    </row>
    <row r="89" spans="1:8" x14ac:dyDescent="0.3">
      <c r="A89">
        <v>2</v>
      </c>
      <c r="B89">
        <v>3</v>
      </c>
      <c r="C89">
        <v>4</v>
      </c>
      <c r="D89">
        <v>5</v>
      </c>
      <c r="E89">
        <v>6</v>
      </c>
      <c r="F89">
        <f t="shared" si="15"/>
        <v>0</v>
      </c>
      <c r="H89" s="7" t="str">
        <f t="shared" si="16"/>
        <v>[TestCase(2, 3, 4, 5, 6, 0)]</v>
      </c>
    </row>
    <row r="90" spans="1:8" x14ac:dyDescent="0.3">
      <c r="A90">
        <v>2</v>
      </c>
      <c r="B90">
        <v>6</v>
      </c>
      <c r="C90">
        <v>4</v>
      </c>
      <c r="D90">
        <v>3</v>
      </c>
      <c r="E90">
        <v>2</v>
      </c>
      <c r="F90">
        <f t="shared" si="15"/>
        <v>0.31622776601683789</v>
      </c>
      <c r="H90" s="7" t="str">
        <f t="shared" si="16"/>
        <v>[TestCase(2, 6, 4, 3, 2, 0.316228)]</v>
      </c>
    </row>
  </sheetData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B2C40-5C39-4337-BA16-2FE8050D6AEB}">
  <sheetPr codeName="Sheet6"/>
  <dimension ref="A1:P150"/>
  <sheetViews>
    <sheetView topLeftCell="A124" workbookViewId="0">
      <selection activeCell="G156" sqref="G156"/>
    </sheetView>
  </sheetViews>
  <sheetFormatPr defaultRowHeight="14.4" x14ac:dyDescent="0.3"/>
  <cols>
    <col min="1" max="1" width="11.88671875" customWidth="1"/>
    <col min="2" max="2" width="12.109375" bestFit="1" customWidth="1"/>
    <col min="3" max="3" width="12.21875" bestFit="1" customWidth="1"/>
    <col min="4" max="4" width="12.109375" bestFit="1" customWidth="1"/>
    <col min="5" max="5" width="10.6640625" bestFit="1" customWidth="1"/>
    <col min="6" max="6" width="14.6640625" bestFit="1" customWidth="1"/>
    <col min="7" max="7" width="13.33203125" customWidth="1"/>
    <col min="8" max="8" width="18.88671875" customWidth="1"/>
    <col min="11" max="11" width="10.88671875" customWidth="1"/>
    <col min="12" max="12" width="12.5546875" customWidth="1"/>
  </cols>
  <sheetData>
    <row r="1" spans="1:7" s="8" customFormat="1" x14ac:dyDescent="0.3">
      <c r="A1" s="8" t="s">
        <v>18</v>
      </c>
    </row>
    <row r="2" spans="1:7" s="6" customFormat="1" x14ac:dyDescent="0.3">
      <c r="A2" s="6" t="s">
        <v>16</v>
      </c>
      <c r="B2" s="6" t="s">
        <v>15</v>
      </c>
      <c r="C2" s="6" t="s">
        <v>14</v>
      </c>
      <c r="D2" s="6" t="s">
        <v>17</v>
      </c>
      <c r="E2" s="6" t="s">
        <v>19</v>
      </c>
    </row>
    <row r="3" spans="1:7" x14ac:dyDescent="0.3">
      <c r="A3">
        <v>0</v>
      </c>
      <c r="B3">
        <v>0</v>
      </c>
      <c r="C3">
        <v>0</v>
      </c>
      <c r="D3">
        <v>0</v>
      </c>
      <c r="E3">
        <f t="shared" ref="E3:E8" si="0">A3*C3+B3*D3</f>
        <v>0</v>
      </c>
      <c r="G3" t="str">
        <f>"[TestCase("&amp;A3&amp;", "&amp;B3&amp;", "&amp;C3&amp;", "&amp;D3&amp;", "&amp;E3&amp;")]"</f>
        <v>[TestCase(0, 0, 0, 0, 0)]</v>
      </c>
    </row>
    <row r="4" spans="1:7" x14ac:dyDescent="0.3">
      <c r="A4">
        <v>1</v>
      </c>
      <c r="B4">
        <v>0</v>
      </c>
      <c r="C4">
        <v>1</v>
      </c>
      <c r="D4">
        <v>0</v>
      </c>
      <c r="E4">
        <f t="shared" si="0"/>
        <v>1</v>
      </c>
      <c r="G4" t="str">
        <f t="shared" ref="G4:G8" si="1">"[TestCase("&amp;A4&amp;", "&amp;B4&amp;", "&amp;C4&amp;", "&amp;D4&amp;", "&amp;E4&amp;")]"</f>
        <v>[TestCase(1, 0, 1, 0, 1)]</v>
      </c>
    </row>
    <row r="5" spans="1:7" x14ac:dyDescent="0.3">
      <c r="A5">
        <v>1</v>
      </c>
      <c r="B5">
        <v>1</v>
      </c>
      <c r="C5">
        <v>1</v>
      </c>
      <c r="D5">
        <v>1</v>
      </c>
      <c r="E5">
        <f t="shared" si="0"/>
        <v>2</v>
      </c>
      <c r="G5" t="str">
        <f t="shared" si="1"/>
        <v>[TestCase(1, 1, 1, 1, 2)]</v>
      </c>
    </row>
    <row r="6" spans="1:7" x14ac:dyDescent="0.3">
      <c r="A6">
        <v>1</v>
      </c>
      <c r="B6">
        <v>2</v>
      </c>
      <c r="C6">
        <v>3</v>
      </c>
      <c r="D6">
        <v>4</v>
      </c>
      <c r="E6">
        <f t="shared" si="0"/>
        <v>11</v>
      </c>
      <c r="G6" t="str">
        <f t="shared" si="1"/>
        <v>[TestCase(1, 2, 3, 4, 11)]</v>
      </c>
    </row>
    <row r="7" spans="1:7" x14ac:dyDescent="0.3">
      <c r="A7">
        <v>-1</v>
      </c>
      <c r="B7">
        <v>-2</v>
      </c>
      <c r="C7">
        <v>-3</v>
      </c>
      <c r="D7">
        <v>-4</v>
      </c>
      <c r="E7">
        <f t="shared" si="0"/>
        <v>11</v>
      </c>
      <c r="G7" t="str">
        <f t="shared" si="1"/>
        <v>[TestCase(-1, -2, -3, -4, 11)]</v>
      </c>
    </row>
    <row r="8" spans="1:7" x14ac:dyDescent="0.3">
      <c r="A8">
        <v>1</v>
      </c>
      <c r="B8">
        <v>-2</v>
      </c>
      <c r="C8">
        <v>3</v>
      </c>
      <c r="D8">
        <v>4</v>
      </c>
      <c r="E8">
        <f t="shared" si="0"/>
        <v>-5</v>
      </c>
      <c r="G8" t="str">
        <f t="shared" si="1"/>
        <v>[TestCase(1, -2, 3, 4, -5)]</v>
      </c>
    </row>
    <row r="9" spans="1:7" x14ac:dyDescent="0.3">
      <c r="A9">
        <v>1.1000000000000001</v>
      </c>
      <c r="B9">
        <v>-2.2000000000000002</v>
      </c>
      <c r="C9">
        <v>3.3</v>
      </c>
      <c r="D9">
        <v>4.4000000000000004</v>
      </c>
      <c r="E9">
        <f t="shared" ref="E9" si="2">A9*C9+B9*D9</f>
        <v>-6.0500000000000016</v>
      </c>
      <c r="G9" t="str">
        <f t="shared" ref="G9" si="3">"[TestCase("&amp;A9&amp;", "&amp;B9&amp;", "&amp;C9&amp;", "&amp;D9&amp;", "&amp;E9&amp;")]"</f>
        <v>[TestCase(1.1, -2.2, 3.3, 4.4, -6.05)]</v>
      </c>
    </row>
    <row r="11" spans="1:7" s="2" customFormat="1" x14ac:dyDescent="0.3">
      <c r="A11" s="2" t="s">
        <v>20</v>
      </c>
    </row>
    <row r="12" spans="1:7" x14ac:dyDescent="0.3">
      <c r="A12" s="6" t="s">
        <v>16</v>
      </c>
      <c r="B12" s="6" t="s">
        <v>15</v>
      </c>
      <c r="C12" s="6" t="s">
        <v>14</v>
      </c>
      <c r="D12" s="6" t="s">
        <v>17</v>
      </c>
      <c r="E12" s="6" t="s">
        <v>19</v>
      </c>
    </row>
    <row r="13" spans="1:7" x14ac:dyDescent="0.3">
      <c r="A13">
        <v>0</v>
      </c>
      <c r="B13">
        <v>0</v>
      </c>
      <c r="C13">
        <v>0</v>
      </c>
      <c r="D13">
        <v>0</v>
      </c>
      <c r="E13">
        <f t="shared" ref="E13:E18" si="4">A13*D13-B13*C13</f>
        <v>0</v>
      </c>
      <c r="G13" t="str">
        <f>"[TestCase("&amp;A13&amp;", "&amp;B13&amp;", "&amp;C13&amp;", "&amp;D13&amp;", "&amp;E13&amp;")]"</f>
        <v>[TestCase(0, 0, 0, 0, 0)]</v>
      </c>
    </row>
    <row r="14" spans="1:7" x14ac:dyDescent="0.3">
      <c r="A14">
        <v>1</v>
      </c>
      <c r="B14">
        <v>0</v>
      </c>
      <c r="C14">
        <v>1</v>
      </c>
      <c r="D14">
        <v>0</v>
      </c>
      <c r="E14">
        <f t="shared" si="4"/>
        <v>0</v>
      </c>
      <c r="G14" t="str">
        <f t="shared" ref="G14:G18" si="5">"[TestCase("&amp;A14&amp;", "&amp;B14&amp;", "&amp;C14&amp;", "&amp;D14&amp;", "&amp;E14&amp;")]"</f>
        <v>[TestCase(1, 0, 1, 0, 0)]</v>
      </c>
    </row>
    <row r="15" spans="1:7" x14ac:dyDescent="0.3">
      <c r="A15">
        <v>1</v>
      </c>
      <c r="B15">
        <v>1</v>
      </c>
      <c r="C15">
        <v>1</v>
      </c>
      <c r="D15">
        <v>1</v>
      </c>
      <c r="E15">
        <f t="shared" si="4"/>
        <v>0</v>
      </c>
      <c r="G15" t="str">
        <f t="shared" si="5"/>
        <v>[TestCase(1, 1, 1, 1, 0)]</v>
      </c>
    </row>
    <row r="16" spans="1:7" x14ac:dyDescent="0.3">
      <c r="A16">
        <v>1</v>
      </c>
      <c r="B16">
        <v>2</v>
      </c>
      <c r="C16">
        <v>3</v>
      </c>
      <c r="D16">
        <v>4</v>
      </c>
      <c r="E16">
        <f t="shared" si="4"/>
        <v>-2</v>
      </c>
      <c r="G16" t="str">
        <f t="shared" si="5"/>
        <v>[TestCase(1, 2, 3, 4, -2)]</v>
      </c>
    </row>
    <row r="17" spans="1:11" x14ac:dyDescent="0.3">
      <c r="A17">
        <v>-1</v>
      </c>
      <c r="B17">
        <v>-2</v>
      </c>
      <c r="C17">
        <v>-3</v>
      </c>
      <c r="D17">
        <v>-4</v>
      </c>
      <c r="E17">
        <f t="shared" si="4"/>
        <v>-2</v>
      </c>
      <c r="G17" t="str">
        <f t="shared" si="5"/>
        <v>[TestCase(-1, -2, -3, -4, -2)]</v>
      </c>
    </row>
    <row r="18" spans="1:11" x14ac:dyDescent="0.3">
      <c r="A18">
        <v>1</v>
      </c>
      <c r="B18">
        <v>-2</v>
      </c>
      <c r="C18">
        <v>3</v>
      </c>
      <c r="D18">
        <v>4</v>
      </c>
      <c r="E18">
        <f t="shared" si="4"/>
        <v>10</v>
      </c>
      <c r="G18" t="str">
        <f t="shared" si="5"/>
        <v>[TestCase(1, -2, 3, 4, 10)]</v>
      </c>
    </row>
    <row r="19" spans="1:11" x14ac:dyDescent="0.3">
      <c r="A19">
        <v>1.1000000000000001</v>
      </c>
      <c r="B19">
        <v>-2.2000000000000002</v>
      </c>
      <c r="C19">
        <v>3.3</v>
      </c>
      <c r="D19">
        <v>4.4000000000000004</v>
      </c>
      <c r="E19">
        <f t="shared" ref="E19" si="6">A19*D19-B19*C19</f>
        <v>12.100000000000001</v>
      </c>
      <c r="G19" t="str">
        <f t="shared" ref="G19" si="7">"[TestCase("&amp;A19&amp;", "&amp;B19&amp;", "&amp;C19&amp;", "&amp;D19&amp;", "&amp;E19&amp;")]"</f>
        <v>[TestCase(1.1, -2.2, 3.3, 4.4, 12.1)]</v>
      </c>
    </row>
    <row r="21" spans="1:11" s="8" customFormat="1" x14ac:dyDescent="0.3">
      <c r="A21" s="8" t="s">
        <v>28</v>
      </c>
    </row>
    <row r="22" spans="1:11" s="6" customFormat="1" x14ac:dyDescent="0.3">
      <c r="A22" s="6" t="s">
        <v>16</v>
      </c>
      <c r="B22" s="6" t="s">
        <v>15</v>
      </c>
      <c r="C22" s="6" t="s">
        <v>30</v>
      </c>
      <c r="D22" s="6" t="s">
        <v>14</v>
      </c>
      <c r="E22" s="6" t="s">
        <v>17</v>
      </c>
      <c r="F22" s="6" t="s">
        <v>31</v>
      </c>
      <c r="G22" s="6" t="s">
        <v>19</v>
      </c>
    </row>
    <row r="23" spans="1:11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f t="shared" ref="G23:G28" si="8">A23*D23+B23*E23+C23*F23</f>
        <v>0</v>
      </c>
      <c r="K23" t="str">
        <f>"[TestCase("&amp;A23&amp;", "&amp;B23&amp;", "&amp;C23&amp;", "&amp;D23&amp;", "&amp;E23&amp;", "&amp;F23&amp;", "&amp;G23&amp;")]"</f>
        <v>[TestCase(0, 0, 0, 0, 0, 0, 0)]</v>
      </c>
    </row>
    <row r="24" spans="1:11" x14ac:dyDescent="0.3">
      <c r="A24">
        <v>1</v>
      </c>
      <c r="B24">
        <v>2</v>
      </c>
      <c r="C24">
        <v>3</v>
      </c>
      <c r="D24">
        <v>4</v>
      </c>
      <c r="E24">
        <v>5</v>
      </c>
      <c r="F24">
        <v>6</v>
      </c>
      <c r="G24">
        <f t="shared" si="8"/>
        <v>32</v>
      </c>
      <c r="K24" t="str">
        <f t="shared" ref="K24:K28" si="9">"[TestCase("&amp;A24&amp;", "&amp;B24&amp;", "&amp;C24&amp;", "&amp;D24&amp;", "&amp;E24&amp;", "&amp;F24&amp;", "&amp;G24&amp;")]"</f>
        <v>[TestCase(1, 2, 3, 4, 5, 6, 32)]</v>
      </c>
    </row>
    <row r="25" spans="1:11" x14ac:dyDescent="0.3">
      <c r="A25">
        <v>1</v>
      </c>
      <c r="B25">
        <v>2</v>
      </c>
      <c r="C25">
        <v>3</v>
      </c>
      <c r="D25">
        <v>-4</v>
      </c>
      <c r="E25">
        <v>-5</v>
      </c>
      <c r="F25">
        <v>-6</v>
      </c>
      <c r="G25">
        <f t="shared" si="8"/>
        <v>-32</v>
      </c>
      <c r="K25" t="str">
        <f t="shared" si="9"/>
        <v>[TestCase(1, 2, 3, -4, -5, -6, -32)]</v>
      </c>
    </row>
    <row r="26" spans="1:11" x14ac:dyDescent="0.3">
      <c r="A26">
        <v>-1</v>
      </c>
      <c r="B26">
        <v>-2</v>
      </c>
      <c r="C26">
        <v>-3</v>
      </c>
      <c r="D26">
        <v>4</v>
      </c>
      <c r="E26">
        <v>5</v>
      </c>
      <c r="F26">
        <v>6</v>
      </c>
      <c r="G26">
        <f t="shared" si="8"/>
        <v>-32</v>
      </c>
      <c r="K26" t="str">
        <f t="shared" si="9"/>
        <v>[TestCase(-1, -2, -3, 4, 5, 6, -32)]</v>
      </c>
    </row>
    <row r="27" spans="1:11" x14ac:dyDescent="0.3">
      <c r="A27">
        <v>-1</v>
      </c>
      <c r="B27">
        <v>-2</v>
      </c>
      <c r="C27">
        <v>-3</v>
      </c>
      <c r="D27">
        <v>-4</v>
      </c>
      <c r="E27">
        <v>-5</v>
      </c>
      <c r="F27">
        <v>-6</v>
      </c>
      <c r="G27">
        <f t="shared" si="8"/>
        <v>32</v>
      </c>
      <c r="K27" t="str">
        <f t="shared" si="9"/>
        <v>[TestCase(-1, -2, -3, -4, -5, -6, 32)]</v>
      </c>
    </row>
    <row r="28" spans="1:11" x14ac:dyDescent="0.3">
      <c r="A28">
        <v>-1.1000000000000001</v>
      </c>
      <c r="B28">
        <v>-2.2000000000000002</v>
      </c>
      <c r="C28">
        <v>-3.3</v>
      </c>
      <c r="D28">
        <v>-4.4000000000000004</v>
      </c>
      <c r="E28">
        <v>-5.5</v>
      </c>
      <c r="F28">
        <v>-6.6</v>
      </c>
      <c r="G28">
        <f t="shared" si="8"/>
        <v>38.72</v>
      </c>
      <c r="K28" t="str">
        <f t="shared" si="9"/>
        <v>[TestCase(-1.1, -2.2, -3.3, -4.4, -5.5, -6.6, 38.72)]</v>
      </c>
    </row>
    <row r="30" spans="1:11" s="2" customFormat="1" x14ac:dyDescent="0.3">
      <c r="A30" s="2" t="s">
        <v>29</v>
      </c>
    </row>
    <row r="31" spans="1:11" x14ac:dyDescent="0.3">
      <c r="A31" s="6" t="s">
        <v>16</v>
      </c>
      <c r="B31" s="6" t="s">
        <v>15</v>
      </c>
      <c r="C31" s="6" t="s">
        <v>30</v>
      </c>
      <c r="D31" s="6" t="s">
        <v>14</v>
      </c>
      <c r="E31" s="6" t="s">
        <v>17</v>
      </c>
      <c r="F31" s="6" t="s">
        <v>31</v>
      </c>
      <c r="G31" s="6" t="s">
        <v>56</v>
      </c>
      <c r="H31" s="6" t="s">
        <v>57</v>
      </c>
      <c r="I31" s="6" t="s">
        <v>58</v>
      </c>
    </row>
    <row r="32" spans="1:11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f>B32*F32-C32*E32</f>
        <v>0</v>
      </c>
      <c r="H32">
        <f>C32*D32-A32*F32</f>
        <v>0</v>
      </c>
      <c r="I32">
        <f>A32*E32-B32*D32</f>
        <v>0</v>
      </c>
      <c r="K32" t="str">
        <f>"[TestCase("&amp;A32&amp;", "&amp;B32&amp;", "&amp;C32&amp;", "&amp;D32&amp;", "&amp;E32&amp;", "&amp;F32&amp;", "&amp;G32&amp;", "&amp;H32&amp;", "&amp;I32&amp;")]"</f>
        <v>[TestCase(0, 0, 0, 0, 0, 0, 0, 0, 0)]</v>
      </c>
    </row>
    <row r="33" spans="1:13" x14ac:dyDescent="0.3">
      <c r="A33">
        <v>7</v>
      </c>
      <c r="B33">
        <v>2</v>
      </c>
      <c r="C33">
        <v>3</v>
      </c>
      <c r="D33">
        <v>4</v>
      </c>
      <c r="E33">
        <v>5</v>
      </c>
      <c r="F33">
        <v>6</v>
      </c>
      <c r="G33">
        <f>B33*F33-C33*E33</f>
        <v>-3</v>
      </c>
      <c r="H33">
        <f t="shared" ref="H33:H39" si="10">C33*D33-A33*F33</f>
        <v>-30</v>
      </c>
      <c r="I33">
        <f>A33*E33-B33*D33</f>
        <v>27</v>
      </c>
      <c r="K33" t="str">
        <f t="shared" ref="K33:K39" si="11">"[TestCase("&amp;A33&amp;", "&amp;B33&amp;", "&amp;C33&amp;", "&amp;D33&amp;", "&amp;E33&amp;", "&amp;F33&amp;", "&amp;G33&amp;", "&amp;H33&amp;", "&amp;I33&amp;")]"</f>
        <v>[TestCase(7, 2, 3, 4, 5, 6, -3, -30, 27)]</v>
      </c>
    </row>
    <row r="34" spans="1:13" x14ac:dyDescent="0.3">
      <c r="A34">
        <v>7</v>
      </c>
      <c r="B34">
        <v>2</v>
      </c>
      <c r="C34">
        <v>3</v>
      </c>
      <c r="D34">
        <v>-4</v>
      </c>
      <c r="E34">
        <v>-5</v>
      </c>
      <c r="F34">
        <v>-6</v>
      </c>
      <c r="G34">
        <f t="shared" ref="G34:G39" si="12">B34*F34-C34*E34</f>
        <v>3</v>
      </c>
      <c r="H34">
        <f t="shared" si="10"/>
        <v>30</v>
      </c>
      <c r="I34">
        <f t="shared" ref="I34:I39" si="13">A34*E34-B34*D34</f>
        <v>-27</v>
      </c>
      <c r="K34" t="str">
        <f t="shared" si="11"/>
        <v>[TestCase(7, 2, 3, -4, -5, -6, 3, 30, -27)]</v>
      </c>
    </row>
    <row r="35" spans="1:13" x14ac:dyDescent="0.3">
      <c r="A35">
        <v>-7</v>
      </c>
      <c r="B35">
        <v>-2</v>
      </c>
      <c r="C35">
        <v>-3</v>
      </c>
      <c r="D35">
        <v>4</v>
      </c>
      <c r="E35">
        <v>5</v>
      </c>
      <c r="F35">
        <v>6</v>
      </c>
      <c r="G35">
        <f t="shared" si="12"/>
        <v>3</v>
      </c>
      <c r="H35">
        <f t="shared" si="10"/>
        <v>30</v>
      </c>
      <c r="I35">
        <f t="shared" si="13"/>
        <v>-27</v>
      </c>
      <c r="K35" t="str">
        <f t="shared" si="11"/>
        <v>[TestCase(-7, -2, -3, 4, 5, 6, 3, 30, -27)]</v>
      </c>
    </row>
    <row r="36" spans="1:13" x14ac:dyDescent="0.3">
      <c r="A36">
        <v>-7</v>
      </c>
      <c r="B36">
        <v>-2</v>
      </c>
      <c r="C36">
        <v>-3</v>
      </c>
      <c r="D36">
        <v>-4</v>
      </c>
      <c r="E36">
        <v>-5</v>
      </c>
      <c r="F36">
        <v>-6</v>
      </c>
      <c r="G36">
        <f t="shared" si="12"/>
        <v>-3</v>
      </c>
      <c r="H36">
        <f t="shared" si="10"/>
        <v>-30</v>
      </c>
      <c r="I36">
        <f t="shared" si="13"/>
        <v>27</v>
      </c>
      <c r="K36" t="str">
        <f t="shared" si="11"/>
        <v>[TestCase(-7, -2, -3, -4, -5, -6, -3, -30, 27)]</v>
      </c>
    </row>
    <row r="37" spans="1:13" x14ac:dyDescent="0.3">
      <c r="A37">
        <v>-7</v>
      </c>
      <c r="B37">
        <v>2</v>
      </c>
      <c r="C37">
        <v>-3</v>
      </c>
      <c r="D37">
        <v>4</v>
      </c>
      <c r="E37">
        <v>-5</v>
      </c>
      <c r="F37">
        <v>6</v>
      </c>
      <c r="G37">
        <f t="shared" si="12"/>
        <v>-3</v>
      </c>
      <c r="H37">
        <f t="shared" si="10"/>
        <v>30</v>
      </c>
      <c r="I37">
        <f t="shared" si="13"/>
        <v>27</v>
      </c>
      <c r="K37" t="str">
        <f t="shared" si="11"/>
        <v>[TestCase(-7, 2, -3, 4, -5, 6, -3, 30, 27)]</v>
      </c>
    </row>
    <row r="38" spans="1:13" x14ac:dyDescent="0.3">
      <c r="A38">
        <v>7</v>
      </c>
      <c r="B38">
        <v>-2</v>
      </c>
      <c r="C38">
        <v>3</v>
      </c>
      <c r="D38">
        <v>-4</v>
      </c>
      <c r="E38">
        <v>5</v>
      </c>
      <c r="F38">
        <v>-6</v>
      </c>
      <c r="G38">
        <f t="shared" si="12"/>
        <v>-3</v>
      </c>
      <c r="H38">
        <f t="shared" si="10"/>
        <v>30</v>
      </c>
      <c r="I38">
        <f t="shared" si="13"/>
        <v>27</v>
      </c>
      <c r="K38" t="str">
        <f t="shared" si="11"/>
        <v>[TestCase(7, -2, 3, -4, 5, -6, -3, 30, 27)]</v>
      </c>
    </row>
    <row r="39" spans="1:13" x14ac:dyDescent="0.3">
      <c r="A39">
        <v>7.7</v>
      </c>
      <c r="B39">
        <v>-2.2000000000000002</v>
      </c>
      <c r="C39">
        <v>3.3</v>
      </c>
      <c r="D39">
        <v>-4.4000000000000004</v>
      </c>
      <c r="E39">
        <v>5.5</v>
      </c>
      <c r="F39">
        <v>-6.6</v>
      </c>
      <c r="G39">
        <f t="shared" si="12"/>
        <v>-3.629999999999999</v>
      </c>
      <c r="H39">
        <f t="shared" si="10"/>
        <v>36.299999999999997</v>
      </c>
      <c r="I39">
        <f t="shared" si="13"/>
        <v>32.67</v>
      </c>
      <c r="K39" t="str">
        <f t="shared" si="11"/>
        <v>[TestCase(7.7, -2.2, 3.3, -4.4, 5.5, -6.6, -3.63, 36.3, 32.67)]</v>
      </c>
    </row>
    <row r="41" spans="1:13" s="2" customFormat="1" x14ac:dyDescent="0.3">
      <c r="A41" s="2" t="s">
        <v>99</v>
      </c>
    </row>
    <row r="42" spans="1:13" x14ac:dyDescent="0.3">
      <c r="A42" s="6" t="s">
        <v>95</v>
      </c>
      <c r="B42" s="6" t="s">
        <v>97</v>
      </c>
      <c r="C42" s="6" t="s">
        <v>96</v>
      </c>
      <c r="D42" s="6" t="s">
        <v>98</v>
      </c>
      <c r="E42" s="6" t="s">
        <v>100</v>
      </c>
      <c r="F42" s="6" t="s">
        <v>101</v>
      </c>
      <c r="G42" s="6" t="s">
        <v>102</v>
      </c>
      <c r="H42" s="6" t="s">
        <v>19</v>
      </c>
      <c r="I42" s="6" t="s">
        <v>108</v>
      </c>
    </row>
    <row r="43" spans="1:13" x14ac:dyDescent="0.3">
      <c r="A43">
        <v>0</v>
      </c>
      <c r="B43">
        <v>0</v>
      </c>
      <c r="C43">
        <v>0</v>
      </c>
      <c r="D43">
        <v>0</v>
      </c>
      <c r="E43">
        <f t="shared" ref="E43" si="14">A43*C43+B43*D43</f>
        <v>0</v>
      </c>
      <c r="F43">
        <f>SQRT(A43^2+B43^2)</f>
        <v>0</v>
      </c>
      <c r="G43">
        <f>SQRT(C43^2+D43^2)</f>
        <v>0</v>
      </c>
      <c r="H43" t="e">
        <f>E43/(F43*G43)</f>
        <v>#DIV/0!</v>
      </c>
    </row>
    <row r="44" spans="1:13" x14ac:dyDescent="0.3">
      <c r="A44">
        <v>0</v>
      </c>
      <c r="B44">
        <v>0</v>
      </c>
      <c r="C44">
        <v>2</v>
      </c>
      <c r="D44">
        <v>3</v>
      </c>
      <c r="E44">
        <f t="shared" ref="E44:E45" si="15">A44*C44+B44*D44</f>
        <v>0</v>
      </c>
      <c r="F44">
        <f t="shared" ref="F44:F45" si="16">SQRT(A44^2+B44^2)</f>
        <v>0</v>
      </c>
      <c r="G44">
        <f t="shared" ref="G44:G45" si="17">SQRT(C44^2+D44^2)</f>
        <v>3.6055512754639891</v>
      </c>
      <c r="H44" t="e">
        <f>E44/(F44*G44)</f>
        <v>#DIV/0!</v>
      </c>
    </row>
    <row r="45" spans="1:13" x14ac:dyDescent="0.3">
      <c r="A45">
        <v>2</v>
      </c>
      <c r="B45">
        <v>3</v>
      </c>
      <c r="C45">
        <v>0</v>
      </c>
      <c r="D45">
        <v>0</v>
      </c>
      <c r="E45">
        <f t="shared" si="15"/>
        <v>0</v>
      </c>
      <c r="F45">
        <f t="shared" si="16"/>
        <v>3.6055512754639891</v>
      </c>
      <c r="G45">
        <f t="shared" si="17"/>
        <v>0</v>
      </c>
      <c r="H45" t="e">
        <f t="shared" ref="H45" si="18">E45/(F45*G45)</f>
        <v>#DIV/0!</v>
      </c>
    </row>
    <row r="46" spans="1:13" x14ac:dyDescent="0.3">
      <c r="A46">
        <v>1</v>
      </c>
      <c r="B46">
        <v>0</v>
      </c>
      <c r="C46">
        <v>2</v>
      </c>
      <c r="D46">
        <v>0</v>
      </c>
      <c r="E46">
        <f t="shared" ref="E46" si="19">A46*C46+B46*D46</f>
        <v>2</v>
      </c>
      <c r="F46">
        <f>SQRT(A46^2+B46^2)</f>
        <v>1</v>
      </c>
      <c r="G46">
        <f>SQRT(C46^2+D46^2)</f>
        <v>2</v>
      </c>
      <c r="H46">
        <f>E46/(F46*G46)</f>
        <v>1</v>
      </c>
      <c r="I46">
        <v>1</v>
      </c>
      <c r="J46" t="s">
        <v>9</v>
      </c>
      <c r="K46" t="s">
        <v>103</v>
      </c>
      <c r="M46" t="str">
        <f>"[TestCase("&amp;A46&amp;", "&amp;B46&amp;", "&amp;C46&amp;", "&amp;D46&amp;", "&amp;H46&amp;")]  // "&amp;J46&amp;" "&amp;K46</f>
        <v>[TestCase(1, 0, 2, 0, 1)]  // X Pointing Same Way</v>
      </c>
    </row>
    <row r="47" spans="1:13" x14ac:dyDescent="0.3">
      <c r="A47">
        <v>0</v>
      </c>
      <c r="B47">
        <v>1</v>
      </c>
      <c r="C47">
        <v>0</v>
      </c>
      <c r="D47">
        <v>2</v>
      </c>
      <c r="E47">
        <f t="shared" ref="E47:E49" si="20">A47*C47+B47*D47</f>
        <v>2</v>
      </c>
      <c r="F47">
        <f t="shared" ref="F47:F49" si="21">SQRT(A47^2+B47^2)</f>
        <v>1</v>
      </c>
      <c r="G47">
        <f t="shared" ref="G47:G49" si="22">SQRT(C47^2+D47^2)</f>
        <v>2</v>
      </c>
      <c r="H47">
        <f t="shared" ref="H47:H49" si="23">E47/(F47*G47)</f>
        <v>1</v>
      </c>
      <c r="J47" t="s">
        <v>10</v>
      </c>
      <c r="K47" t="s">
        <v>103</v>
      </c>
      <c r="M47" t="str">
        <f t="shared" ref="M47:M61" si="24">"[TestCase("&amp;A47&amp;", "&amp;B47&amp;", "&amp;C47&amp;", "&amp;D47&amp;", "&amp;H47&amp;")]  // "&amp;J47&amp;" "&amp;K47</f>
        <v>[TestCase(0, 1, 0, 2, 1)]  // Y Pointing Same Way</v>
      </c>
    </row>
    <row r="48" spans="1:13" x14ac:dyDescent="0.3">
      <c r="A48">
        <v>1</v>
      </c>
      <c r="B48">
        <v>2</v>
      </c>
      <c r="C48">
        <v>2</v>
      </c>
      <c r="D48">
        <v>4</v>
      </c>
      <c r="E48">
        <f t="shared" si="20"/>
        <v>10</v>
      </c>
      <c r="F48">
        <f t="shared" si="21"/>
        <v>2.2360679774997898</v>
      </c>
      <c r="G48">
        <f t="shared" si="22"/>
        <v>4.4721359549995796</v>
      </c>
      <c r="H48">
        <f t="shared" si="23"/>
        <v>0.99999999999999978</v>
      </c>
      <c r="J48" t="s">
        <v>111</v>
      </c>
      <c r="K48" t="s">
        <v>103</v>
      </c>
      <c r="M48" t="str">
        <f t="shared" si="24"/>
        <v>[TestCase(1, 2, 2, 4, 1)]  // Sloped Pointing Same Way</v>
      </c>
    </row>
    <row r="49" spans="1:13" x14ac:dyDescent="0.3">
      <c r="A49">
        <v>1.1000000000000001</v>
      </c>
      <c r="B49">
        <v>2.2000000000000002</v>
      </c>
      <c r="C49">
        <v>2.1</v>
      </c>
      <c r="D49">
        <v>4.2</v>
      </c>
      <c r="E49">
        <f t="shared" si="20"/>
        <v>11.550000000000002</v>
      </c>
      <c r="F49">
        <f t="shared" si="21"/>
        <v>2.459674775249769</v>
      </c>
      <c r="G49">
        <f t="shared" si="22"/>
        <v>4.6957427527495588</v>
      </c>
      <c r="H49">
        <f t="shared" si="23"/>
        <v>1</v>
      </c>
      <c r="J49" t="s">
        <v>111</v>
      </c>
      <c r="K49" t="s">
        <v>103</v>
      </c>
      <c r="M49" t="str">
        <f t="shared" si="24"/>
        <v>[TestCase(1.1, 2.2, 2.1, 4.2, 1)]  // Sloped Pointing Same Way</v>
      </c>
    </row>
    <row r="50" spans="1:13" x14ac:dyDescent="0.3">
      <c r="A50">
        <v>2</v>
      </c>
      <c r="B50">
        <v>1</v>
      </c>
      <c r="C50">
        <v>1</v>
      </c>
      <c r="D50">
        <v>2</v>
      </c>
      <c r="E50">
        <f t="shared" ref="E50:E61" si="25">A50*C50+B50*D50</f>
        <v>4</v>
      </c>
      <c r="F50">
        <f t="shared" ref="F50:F58" si="26">SQRT(A50^2+B50^2)</f>
        <v>2.2360679774997898</v>
      </c>
      <c r="G50">
        <f t="shared" ref="G50:G58" si="27">SQRT(C50^2+D50^2)</f>
        <v>2.2360679774997898</v>
      </c>
      <c r="H50">
        <f t="shared" ref="H50:H58" si="28">E50/(F50*G50)</f>
        <v>0.79999999999999982</v>
      </c>
      <c r="I50" t="s">
        <v>109</v>
      </c>
      <c r="K50" t="s">
        <v>104</v>
      </c>
      <c r="M50" t="str">
        <f t="shared" si="24"/>
        <v>[TestCase(2, 1, 1, 2, 0.8)]  //  Concave</v>
      </c>
    </row>
    <row r="51" spans="1:13" x14ac:dyDescent="0.3">
      <c r="A51">
        <v>1</v>
      </c>
      <c r="B51">
        <v>0</v>
      </c>
      <c r="C51">
        <v>0</v>
      </c>
      <c r="D51">
        <v>1</v>
      </c>
      <c r="E51">
        <f t="shared" si="25"/>
        <v>0</v>
      </c>
      <c r="F51">
        <f t="shared" si="26"/>
        <v>1</v>
      </c>
      <c r="G51">
        <f t="shared" si="27"/>
        <v>1</v>
      </c>
      <c r="H51">
        <f t="shared" si="28"/>
        <v>0</v>
      </c>
      <c r="I51">
        <v>0</v>
      </c>
      <c r="J51" t="s">
        <v>112</v>
      </c>
      <c r="K51" t="s">
        <v>105</v>
      </c>
      <c r="M51" t="str">
        <f t="shared" si="24"/>
        <v>[TestCase(1, 0, 0, 1, 0)]  // Quad1 Orthogonal</v>
      </c>
    </row>
    <row r="52" spans="1:13" x14ac:dyDescent="0.3">
      <c r="A52">
        <v>0</v>
      </c>
      <c r="B52">
        <v>1</v>
      </c>
      <c r="C52">
        <v>-1</v>
      </c>
      <c r="D52">
        <v>0</v>
      </c>
      <c r="E52">
        <f t="shared" ref="E52:E54" si="29">A52*C52+B52*D52</f>
        <v>0</v>
      </c>
      <c r="F52">
        <f t="shared" si="26"/>
        <v>1</v>
      </c>
      <c r="G52">
        <f t="shared" si="27"/>
        <v>1</v>
      </c>
      <c r="H52">
        <f t="shared" si="28"/>
        <v>0</v>
      </c>
      <c r="J52" t="s">
        <v>113</v>
      </c>
      <c r="K52" t="s">
        <v>105</v>
      </c>
      <c r="M52" t="str">
        <f t="shared" si="24"/>
        <v>[TestCase(0, 1, -1, 0, 0)]  // Quad2 Orthogonal</v>
      </c>
    </row>
    <row r="53" spans="1:13" x14ac:dyDescent="0.3">
      <c r="A53">
        <v>-1</v>
      </c>
      <c r="B53">
        <v>0</v>
      </c>
      <c r="C53">
        <v>0</v>
      </c>
      <c r="D53">
        <v>-1</v>
      </c>
      <c r="E53">
        <f t="shared" si="29"/>
        <v>0</v>
      </c>
      <c r="F53">
        <f t="shared" si="26"/>
        <v>1</v>
      </c>
      <c r="G53">
        <f t="shared" si="27"/>
        <v>1</v>
      </c>
      <c r="H53">
        <f t="shared" si="28"/>
        <v>0</v>
      </c>
      <c r="J53" t="s">
        <v>114</v>
      </c>
      <c r="K53" t="s">
        <v>105</v>
      </c>
      <c r="M53" t="str">
        <f t="shared" si="24"/>
        <v>[TestCase(-1, 0, 0, -1, 0)]  // Quad3 Orthogonal</v>
      </c>
    </row>
    <row r="54" spans="1:13" x14ac:dyDescent="0.3">
      <c r="A54">
        <v>0</v>
      </c>
      <c r="B54">
        <v>-1</v>
      </c>
      <c r="C54">
        <v>1</v>
      </c>
      <c r="D54">
        <v>0</v>
      </c>
      <c r="E54">
        <f t="shared" si="29"/>
        <v>0</v>
      </c>
      <c r="F54">
        <f t="shared" si="26"/>
        <v>1</v>
      </c>
      <c r="G54">
        <f t="shared" si="27"/>
        <v>1</v>
      </c>
      <c r="H54">
        <f t="shared" si="28"/>
        <v>0</v>
      </c>
      <c r="J54" t="s">
        <v>115</v>
      </c>
      <c r="K54" t="s">
        <v>105</v>
      </c>
      <c r="M54" t="str">
        <f t="shared" si="24"/>
        <v>[TestCase(0, -1, 1, 0, 0)]  // Quad4 Orthogonal</v>
      </c>
    </row>
    <row r="55" spans="1:13" x14ac:dyDescent="0.3">
      <c r="A55">
        <v>1</v>
      </c>
      <c r="B55">
        <v>0</v>
      </c>
      <c r="C55">
        <v>0</v>
      </c>
      <c r="D55">
        <v>-1</v>
      </c>
      <c r="E55">
        <f t="shared" ref="E55" si="30">A55*C55+B55*D55</f>
        <v>0</v>
      </c>
      <c r="F55">
        <f t="shared" si="26"/>
        <v>1</v>
      </c>
      <c r="G55">
        <f t="shared" si="27"/>
        <v>1</v>
      </c>
      <c r="H55">
        <f t="shared" si="28"/>
        <v>0</v>
      </c>
      <c r="J55" t="s">
        <v>117</v>
      </c>
      <c r="K55" t="s">
        <v>105</v>
      </c>
      <c r="M55" t="str">
        <f t="shared" si="24"/>
        <v>[TestCase(1, 0, 0, -1, 0)]  // Mirrored Axis Orthogonal</v>
      </c>
    </row>
    <row r="56" spans="1:13" x14ac:dyDescent="0.3">
      <c r="A56">
        <v>1</v>
      </c>
      <c r="B56">
        <v>2</v>
      </c>
      <c r="C56">
        <v>-2</v>
      </c>
      <c r="D56">
        <v>1</v>
      </c>
      <c r="E56">
        <f t="shared" ref="E56" si="31">A56*C56+B56*D56</f>
        <v>0</v>
      </c>
      <c r="F56">
        <f t="shared" si="26"/>
        <v>2.2360679774997898</v>
      </c>
      <c r="G56">
        <f t="shared" si="27"/>
        <v>2.2360679774997898</v>
      </c>
      <c r="H56">
        <f t="shared" si="28"/>
        <v>0</v>
      </c>
      <c r="J56" t="s">
        <v>116</v>
      </c>
      <c r="K56" t="s">
        <v>105</v>
      </c>
      <c r="M56" t="str">
        <f t="shared" si="24"/>
        <v>[TestCase(1, 2, -2, 1, 0)]  // Rotated 45 deg Orthogonal</v>
      </c>
    </row>
    <row r="57" spans="1:13" x14ac:dyDescent="0.3">
      <c r="A57">
        <v>-2</v>
      </c>
      <c r="B57">
        <v>1</v>
      </c>
      <c r="C57">
        <v>1</v>
      </c>
      <c r="D57">
        <v>-2</v>
      </c>
      <c r="E57">
        <f t="shared" si="25"/>
        <v>-4</v>
      </c>
      <c r="F57">
        <f t="shared" si="26"/>
        <v>2.2360679774997898</v>
      </c>
      <c r="G57">
        <f t="shared" si="27"/>
        <v>2.2360679774997898</v>
      </c>
      <c r="H57">
        <f t="shared" si="28"/>
        <v>-0.79999999999999982</v>
      </c>
      <c r="I57" t="s">
        <v>110</v>
      </c>
      <c r="K57" t="s">
        <v>106</v>
      </c>
      <c r="M57" t="str">
        <f t="shared" si="24"/>
        <v>[TestCase(-2, 1, 1, -2, -0.8)]  //  Convex</v>
      </c>
    </row>
    <row r="58" spans="1:13" x14ac:dyDescent="0.3">
      <c r="A58">
        <v>1</v>
      </c>
      <c r="B58">
        <v>0</v>
      </c>
      <c r="C58">
        <v>-2</v>
      </c>
      <c r="D58">
        <v>0</v>
      </c>
      <c r="E58">
        <f t="shared" si="25"/>
        <v>-2</v>
      </c>
      <c r="F58">
        <f t="shared" si="26"/>
        <v>1</v>
      </c>
      <c r="G58">
        <f t="shared" si="27"/>
        <v>2</v>
      </c>
      <c r="H58">
        <f t="shared" si="28"/>
        <v>-1</v>
      </c>
      <c r="I58">
        <v>-1</v>
      </c>
      <c r="J58" t="s">
        <v>9</v>
      </c>
      <c r="K58" t="s">
        <v>107</v>
      </c>
      <c r="M58" t="str">
        <f t="shared" si="24"/>
        <v>[TestCase(1, 0, -2, 0, -1)]  // X Pointing Opposite Way</v>
      </c>
    </row>
    <row r="59" spans="1:13" x14ac:dyDescent="0.3">
      <c r="A59">
        <v>0</v>
      </c>
      <c r="B59">
        <v>1</v>
      </c>
      <c r="C59">
        <v>0</v>
      </c>
      <c r="D59">
        <v>-2</v>
      </c>
      <c r="E59">
        <f t="shared" si="25"/>
        <v>-2</v>
      </c>
      <c r="F59">
        <f t="shared" ref="F59:F61" si="32">SQRT(A59^2+B59^2)</f>
        <v>1</v>
      </c>
      <c r="G59">
        <f t="shared" ref="G59:G61" si="33">SQRT(C59^2+D59^2)</f>
        <v>2</v>
      </c>
      <c r="H59">
        <f t="shared" ref="H59:H61" si="34">E59/(F59*G59)</f>
        <v>-1</v>
      </c>
      <c r="I59" s="1"/>
      <c r="J59" t="s">
        <v>10</v>
      </c>
      <c r="K59" t="s">
        <v>107</v>
      </c>
      <c r="M59" t="str">
        <f t="shared" si="24"/>
        <v>[TestCase(0, 1, 0, -2, -1)]  // Y Pointing Opposite Way</v>
      </c>
    </row>
    <row r="60" spans="1:13" x14ac:dyDescent="0.3">
      <c r="A60">
        <v>1</v>
      </c>
      <c r="B60">
        <v>2</v>
      </c>
      <c r="C60">
        <v>-2</v>
      </c>
      <c r="D60">
        <v>-4</v>
      </c>
      <c r="E60">
        <f t="shared" si="25"/>
        <v>-10</v>
      </c>
      <c r="F60">
        <f t="shared" si="32"/>
        <v>2.2360679774997898</v>
      </c>
      <c r="G60">
        <f t="shared" si="33"/>
        <v>4.4721359549995796</v>
      </c>
      <c r="H60">
        <f t="shared" si="34"/>
        <v>-0.99999999999999978</v>
      </c>
      <c r="J60" t="s">
        <v>111</v>
      </c>
      <c r="K60" t="s">
        <v>107</v>
      </c>
      <c r="M60" t="str">
        <f t="shared" si="24"/>
        <v>[TestCase(1, 2, -2, -4, -1)]  // Sloped Pointing Opposite Way</v>
      </c>
    </row>
    <row r="61" spans="1:13" x14ac:dyDescent="0.3">
      <c r="A61">
        <v>1.1000000000000001</v>
      </c>
      <c r="B61">
        <v>2.2000000000000002</v>
      </c>
      <c r="C61">
        <v>-2.1</v>
      </c>
      <c r="D61">
        <v>-4.2</v>
      </c>
      <c r="E61">
        <f t="shared" si="25"/>
        <v>-11.550000000000002</v>
      </c>
      <c r="F61">
        <f t="shared" si="32"/>
        <v>2.459674775249769</v>
      </c>
      <c r="G61">
        <f t="shared" si="33"/>
        <v>4.6957427527495588</v>
      </c>
      <c r="H61">
        <f t="shared" si="34"/>
        <v>-1</v>
      </c>
      <c r="J61" t="s">
        <v>111</v>
      </c>
      <c r="K61" t="s">
        <v>107</v>
      </c>
      <c r="M61" t="str">
        <f t="shared" si="24"/>
        <v>[TestCase(1.1, 2.2, -2.1, -4.2, -1)]  // Sloped Pointing Opposite Way</v>
      </c>
    </row>
    <row r="63" spans="1:13" s="2" customFormat="1" x14ac:dyDescent="0.3">
      <c r="A63" s="2" t="s">
        <v>118</v>
      </c>
    </row>
    <row r="64" spans="1:13" x14ac:dyDescent="0.3">
      <c r="A64" s="6" t="s">
        <v>95</v>
      </c>
      <c r="B64" s="6" t="s">
        <v>97</v>
      </c>
      <c r="C64" s="6" t="s">
        <v>96</v>
      </c>
      <c r="D64" s="6" t="s">
        <v>98</v>
      </c>
      <c r="E64" s="6" t="s">
        <v>94</v>
      </c>
      <c r="F64" s="6" t="s">
        <v>119</v>
      </c>
      <c r="G64" s="6" t="s">
        <v>120</v>
      </c>
      <c r="I64" s="6" t="s">
        <v>119</v>
      </c>
      <c r="J64" s="6" t="s">
        <v>120</v>
      </c>
    </row>
    <row r="65" spans="1:10" x14ac:dyDescent="0.3">
      <c r="A65">
        <v>0</v>
      </c>
      <c r="B65">
        <v>0</v>
      </c>
      <c r="C65">
        <v>0</v>
      </c>
      <c r="D65">
        <v>0</v>
      </c>
      <c r="E65">
        <f>0.5*(A65*D65-B65*C65)</f>
        <v>0</v>
      </c>
      <c r="F65" t="b">
        <f>E65&gt;0</f>
        <v>0</v>
      </c>
      <c r="G65" t="b">
        <f>E65&lt;0</f>
        <v>0</v>
      </c>
      <c r="I65" t="str">
        <f>"[TestCase("&amp;A65&amp;", "&amp;B65&amp;", "&amp;C65&amp;", "&amp;D65&amp;", "&amp;F65&amp;")]"</f>
        <v>[TestCase(0, 0, 0, 0, FALSE)]</v>
      </c>
      <c r="J65" t="str">
        <f>"[TestCase("&amp;A65&amp;", "&amp;B65&amp;", "&amp;C65&amp;", "&amp;D65&amp;", "&amp;G65&amp;")]"</f>
        <v>[TestCase(0, 0, 0, 0, FALSE)]</v>
      </c>
    </row>
    <row r="66" spans="1:10" x14ac:dyDescent="0.3">
      <c r="A66">
        <v>1</v>
      </c>
      <c r="B66">
        <v>0</v>
      </c>
      <c r="C66">
        <v>0</v>
      </c>
      <c r="D66">
        <v>1</v>
      </c>
      <c r="E66">
        <f>0.5*(A66*D66-B66*C66)</f>
        <v>0.5</v>
      </c>
      <c r="F66" t="b">
        <f t="shared" ref="F66:F77" si="35">E66&gt;0</f>
        <v>1</v>
      </c>
      <c r="G66" t="b">
        <f t="shared" ref="G66:G77" si="36">E66&lt;0</f>
        <v>0</v>
      </c>
      <c r="I66" t="str">
        <f t="shared" ref="I66:I77" si="37">"[TestCase("&amp;A66&amp;", "&amp;B66&amp;", "&amp;C66&amp;", "&amp;D66&amp;", "&amp;F66&amp;")]"</f>
        <v>[TestCase(1, 0, 0, 1, TRUE)]</v>
      </c>
      <c r="J66" t="str">
        <f t="shared" ref="J66:J77" si="38">"[TestCase("&amp;A66&amp;", "&amp;B66&amp;", "&amp;C66&amp;", "&amp;D66&amp;", "&amp;G66&amp;")]"</f>
        <v>[TestCase(1, 0, 0, 1, FALSE)]</v>
      </c>
    </row>
    <row r="67" spans="1:10" x14ac:dyDescent="0.3">
      <c r="A67">
        <v>-1</v>
      </c>
      <c r="B67">
        <v>0</v>
      </c>
      <c r="C67">
        <v>0</v>
      </c>
      <c r="D67">
        <v>-1</v>
      </c>
      <c r="E67">
        <f>0.5*(A67*D67-B67*C67)</f>
        <v>0.5</v>
      </c>
      <c r="F67" t="b">
        <f t="shared" si="35"/>
        <v>1</v>
      </c>
      <c r="G67" t="b">
        <f t="shared" si="36"/>
        <v>0</v>
      </c>
      <c r="I67" t="str">
        <f t="shared" si="37"/>
        <v>[TestCase(-1, 0, 0, -1, TRUE)]</v>
      </c>
      <c r="J67" t="str">
        <f t="shared" si="38"/>
        <v>[TestCase(-1, 0, 0, -1, FALSE)]</v>
      </c>
    </row>
    <row r="68" spans="1:10" x14ac:dyDescent="0.3">
      <c r="A68">
        <v>-1</v>
      </c>
      <c r="B68">
        <v>0</v>
      </c>
      <c r="C68">
        <v>0</v>
      </c>
      <c r="D68">
        <v>1</v>
      </c>
      <c r="E68">
        <f>0.5*(A68*D68-B68*C68)</f>
        <v>-0.5</v>
      </c>
      <c r="F68" t="b">
        <f t="shared" si="35"/>
        <v>0</v>
      </c>
      <c r="G68" t="b">
        <f t="shared" si="36"/>
        <v>1</v>
      </c>
      <c r="I68" t="str">
        <f t="shared" si="37"/>
        <v>[TestCase(-1, 0, 0, 1, FALSE)]</v>
      </c>
      <c r="J68" t="str">
        <f t="shared" si="38"/>
        <v>[TestCase(-1, 0, 0, 1, TRUE)]</v>
      </c>
    </row>
    <row r="69" spans="1:10" x14ac:dyDescent="0.3">
      <c r="A69">
        <v>1</v>
      </c>
      <c r="B69">
        <v>0</v>
      </c>
      <c r="C69">
        <v>0</v>
      </c>
      <c r="D69">
        <v>-1</v>
      </c>
      <c r="E69">
        <f>0.5*(A69*D69-B69*C69)</f>
        <v>-0.5</v>
      </c>
      <c r="F69" t="b">
        <f t="shared" si="35"/>
        <v>0</v>
      </c>
      <c r="G69" t="b">
        <f t="shared" si="36"/>
        <v>1</v>
      </c>
      <c r="I69" t="str">
        <f t="shared" si="37"/>
        <v>[TestCase(1, 0, 0, -1, FALSE)]</v>
      </c>
      <c r="J69" t="str">
        <f t="shared" si="38"/>
        <v>[TestCase(1, 0, 0, -1, TRUE)]</v>
      </c>
    </row>
    <row r="70" spans="1:10" x14ac:dyDescent="0.3">
      <c r="A70">
        <v>0</v>
      </c>
      <c r="B70">
        <v>1</v>
      </c>
      <c r="C70">
        <v>1</v>
      </c>
      <c r="D70">
        <v>0</v>
      </c>
      <c r="E70">
        <f t="shared" ref="E70:E77" si="39">0.5*(A70*D70-B70*C70)</f>
        <v>-0.5</v>
      </c>
      <c r="F70" t="b">
        <f t="shared" si="35"/>
        <v>0</v>
      </c>
      <c r="G70" t="b">
        <f t="shared" si="36"/>
        <v>1</v>
      </c>
      <c r="I70" t="str">
        <f t="shared" si="37"/>
        <v>[TestCase(0, 1, 1, 0, FALSE)]</v>
      </c>
      <c r="J70" t="str">
        <f t="shared" si="38"/>
        <v>[TestCase(0, 1, 1, 0, TRUE)]</v>
      </c>
    </row>
    <row r="71" spans="1:10" x14ac:dyDescent="0.3">
      <c r="A71">
        <v>0</v>
      </c>
      <c r="B71">
        <v>-1</v>
      </c>
      <c r="C71">
        <v>-1</v>
      </c>
      <c r="D71">
        <v>0</v>
      </c>
      <c r="E71">
        <f t="shared" si="39"/>
        <v>-0.5</v>
      </c>
      <c r="F71" t="b">
        <f t="shared" si="35"/>
        <v>0</v>
      </c>
      <c r="G71" t="b">
        <f t="shared" si="36"/>
        <v>1</v>
      </c>
      <c r="I71" t="str">
        <f t="shared" si="37"/>
        <v>[TestCase(0, -1, -1, 0, FALSE)]</v>
      </c>
      <c r="J71" t="str">
        <f t="shared" si="38"/>
        <v>[TestCase(0, -1, -1, 0, TRUE)]</v>
      </c>
    </row>
    <row r="72" spans="1:10" x14ac:dyDescent="0.3">
      <c r="A72">
        <v>0</v>
      </c>
      <c r="B72">
        <v>-1</v>
      </c>
      <c r="C72">
        <v>1</v>
      </c>
      <c r="D72">
        <v>0</v>
      </c>
      <c r="E72">
        <f t="shared" si="39"/>
        <v>0.5</v>
      </c>
      <c r="F72" t="b">
        <f t="shared" si="35"/>
        <v>1</v>
      </c>
      <c r="G72" t="b">
        <f t="shared" si="36"/>
        <v>0</v>
      </c>
      <c r="I72" t="str">
        <f t="shared" si="37"/>
        <v>[TestCase(0, -1, 1, 0, TRUE)]</v>
      </c>
      <c r="J72" t="str">
        <f t="shared" si="38"/>
        <v>[TestCase(0, -1, 1, 0, FALSE)]</v>
      </c>
    </row>
    <row r="73" spans="1:10" x14ac:dyDescent="0.3">
      <c r="A73">
        <v>0</v>
      </c>
      <c r="B73">
        <v>1</v>
      </c>
      <c r="C73">
        <v>-1</v>
      </c>
      <c r="D73">
        <v>0</v>
      </c>
      <c r="E73">
        <f t="shared" si="39"/>
        <v>0.5</v>
      </c>
      <c r="F73" t="b">
        <f t="shared" si="35"/>
        <v>1</v>
      </c>
      <c r="G73" t="b">
        <f t="shared" si="36"/>
        <v>0</v>
      </c>
      <c r="I73" t="str">
        <f t="shared" si="37"/>
        <v>[TestCase(0, 1, -1, 0, TRUE)]</v>
      </c>
      <c r="J73" t="str">
        <f t="shared" si="38"/>
        <v>[TestCase(0, 1, -1, 0, FALSE)]</v>
      </c>
    </row>
    <row r="74" spans="1:10" x14ac:dyDescent="0.3">
      <c r="A74">
        <v>1</v>
      </c>
      <c r="B74">
        <v>2</v>
      </c>
      <c r="C74">
        <v>3</v>
      </c>
      <c r="D74">
        <v>4</v>
      </c>
      <c r="E74">
        <f t="shared" si="39"/>
        <v>-1</v>
      </c>
      <c r="F74" t="b">
        <f t="shared" si="35"/>
        <v>0</v>
      </c>
      <c r="G74" t="b">
        <f t="shared" si="36"/>
        <v>1</v>
      </c>
      <c r="I74" t="str">
        <f t="shared" si="37"/>
        <v>[TestCase(1, 2, 3, 4, FALSE)]</v>
      </c>
      <c r="J74" t="str">
        <f t="shared" si="38"/>
        <v>[TestCase(1, 2, 3, 4, TRUE)]</v>
      </c>
    </row>
    <row r="75" spans="1:10" x14ac:dyDescent="0.3">
      <c r="A75">
        <v>1</v>
      </c>
      <c r="B75">
        <v>2</v>
      </c>
      <c r="C75">
        <v>-3</v>
      </c>
      <c r="D75">
        <v>4</v>
      </c>
      <c r="E75">
        <f t="shared" si="39"/>
        <v>5</v>
      </c>
      <c r="F75" t="b">
        <f t="shared" si="35"/>
        <v>1</v>
      </c>
      <c r="G75" t="b">
        <f t="shared" si="36"/>
        <v>0</v>
      </c>
      <c r="I75" t="str">
        <f t="shared" si="37"/>
        <v>[TestCase(1, 2, -3, 4, TRUE)]</v>
      </c>
      <c r="J75" t="str">
        <f t="shared" si="38"/>
        <v>[TestCase(1, 2, -3, 4, FALSE)]</v>
      </c>
    </row>
    <row r="76" spans="1:10" x14ac:dyDescent="0.3">
      <c r="A76">
        <v>1</v>
      </c>
      <c r="B76">
        <v>2</v>
      </c>
      <c r="C76">
        <v>-3</v>
      </c>
      <c r="D76">
        <v>-4</v>
      </c>
      <c r="E76">
        <f t="shared" si="39"/>
        <v>1</v>
      </c>
      <c r="F76" t="b">
        <f t="shared" si="35"/>
        <v>1</v>
      </c>
      <c r="G76" t="b">
        <f t="shared" si="36"/>
        <v>0</v>
      </c>
      <c r="I76" t="str">
        <f t="shared" si="37"/>
        <v>[TestCase(1, 2, -3, -4, TRUE)]</v>
      </c>
      <c r="J76" t="str">
        <f t="shared" si="38"/>
        <v>[TestCase(1, 2, -3, -4, FALSE)]</v>
      </c>
    </row>
    <row r="77" spans="1:10" x14ac:dyDescent="0.3">
      <c r="A77">
        <v>1</v>
      </c>
      <c r="B77">
        <v>2</v>
      </c>
      <c r="C77">
        <v>3</v>
      </c>
      <c r="D77">
        <v>-4</v>
      </c>
      <c r="E77">
        <f t="shared" si="39"/>
        <v>-5</v>
      </c>
      <c r="F77" t="b">
        <f t="shared" si="35"/>
        <v>0</v>
      </c>
      <c r="G77" t="b">
        <f t="shared" si="36"/>
        <v>1</v>
      </c>
      <c r="I77" t="str">
        <f t="shared" si="37"/>
        <v>[TestCase(1, 2, 3, -4, FALSE)]</v>
      </c>
      <c r="J77" t="str">
        <f t="shared" si="38"/>
        <v>[TestCase(1, 2, 3, -4, TRUE)]</v>
      </c>
    </row>
    <row r="79" spans="1:10" s="2" customFormat="1" x14ac:dyDescent="0.3">
      <c r="A79" s="2" t="s">
        <v>21</v>
      </c>
    </row>
    <row r="80" spans="1:10" x14ac:dyDescent="0.3">
      <c r="A80" s="6" t="s">
        <v>95</v>
      </c>
      <c r="B80" s="6" t="s">
        <v>97</v>
      </c>
      <c r="C80" s="6" t="s">
        <v>96</v>
      </c>
      <c r="D80" s="6" t="s">
        <v>98</v>
      </c>
      <c r="E80" s="6" t="s">
        <v>100</v>
      </c>
      <c r="F80" s="6" t="s">
        <v>101</v>
      </c>
      <c r="G80" s="6" t="s">
        <v>102</v>
      </c>
      <c r="H80" s="6" t="s">
        <v>99</v>
      </c>
      <c r="I80" s="6" t="s">
        <v>21</v>
      </c>
      <c r="J80" s="6" t="s">
        <v>43</v>
      </c>
    </row>
    <row r="81" spans="1:12" x14ac:dyDescent="0.3">
      <c r="A81">
        <f t="shared" ref="A81:D99" si="40">A43</f>
        <v>0</v>
      </c>
      <c r="B81">
        <f t="shared" si="40"/>
        <v>0</v>
      </c>
      <c r="C81">
        <f t="shared" si="40"/>
        <v>0</v>
      </c>
      <c r="D81">
        <f t="shared" si="40"/>
        <v>0</v>
      </c>
      <c r="E81">
        <f t="shared" ref="E81" si="41">A81*C81+B81*D81</f>
        <v>0</v>
      </c>
      <c r="F81">
        <f>SQRT(A81^2+B81^2)</f>
        <v>0</v>
      </c>
      <c r="G81">
        <f>SQRT(C81^2+D81^2)</f>
        <v>0</v>
      </c>
      <c r="H81" t="e">
        <f>E81/(F81*G81)</f>
        <v>#DIV/0!</v>
      </c>
      <c r="I81" t="e">
        <f>ACOS(H81)</f>
        <v>#DIV/0!</v>
      </c>
      <c r="J81" t="e">
        <f>DEGREES(I81)</f>
        <v>#DIV/0!</v>
      </c>
      <c r="L81" t="e">
        <f>"[TestCase("&amp;A81&amp;", "&amp;B81&amp;", "&amp;C81&amp;", "&amp;D81&amp;", "&amp;ROUND(I81,6)&amp;")]"</f>
        <v>#DIV/0!</v>
      </c>
    </row>
    <row r="82" spans="1:12" x14ac:dyDescent="0.3">
      <c r="A82">
        <f t="shared" si="40"/>
        <v>0</v>
      </c>
      <c r="B82">
        <f t="shared" si="40"/>
        <v>0</v>
      </c>
      <c r="C82">
        <f t="shared" si="40"/>
        <v>2</v>
      </c>
      <c r="D82">
        <f t="shared" si="40"/>
        <v>3</v>
      </c>
      <c r="E82">
        <f t="shared" ref="E82:E83" si="42">A82*C82+B82*D82</f>
        <v>0</v>
      </c>
      <c r="F82">
        <f>SQRT(A82^2+B82^2)</f>
        <v>0</v>
      </c>
      <c r="G82">
        <f>SQRT(C82^2+D82^2)</f>
        <v>3.6055512754639891</v>
      </c>
      <c r="H82" t="e">
        <f>E82/(F82*G82)</f>
        <v>#DIV/0!</v>
      </c>
      <c r="I82" t="e">
        <f>ACOS(H82)</f>
        <v>#DIV/0!</v>
      </c>
      <c r="J82" t="e">
        <f>DEGREES(I82)</f>
        <v>#DIV/0!</v>
      </c>
      <c r="L82" t="e">
        <f>"[TestCase("&amp;A82&amp;", "&amp;B82&amp;", "&amp;C82&amp;", "&amp;D82&amp;", "&amp;ROUND(I82,6)&amp;")]"</f>
        <v>#DIV/0!</v>
      </c>
    </row>
    <row r="83" spans="1:12" x14ac:dyDescent="0.3">
      <c r="A83">
        <f t="shared" si="40"/>
        <v>2</v>
      </c>
      <c r="B83">
        <f t="shared" si="40"/>
        <v>3</v>
      </c>
      <c r="C83">
        <f t="shared" si="40"/>
        <v>0</v>
      </c>
      <c r="D83">
        <f t="shared" si="40"/>
        <v>0</v>
      </c>
      <c r="E83">
        <f t="shared" si="42"/>
        <v>0</v>
      </c>
      <c r="F83">
        <f>SQRT(A83^2+B83^2)</f>
        <v>3.6055512754639891</v>
      </c>
      <c r="G83">
        <f>SQRT(C83^2+D83^2)</f>
        <v>0</v>
      </c>
      <c r="H83" t="e">
        <f>E83/(F83*G83)</f>
        <v>#DIV/0!</v>
      </c>
      <c r="I83" t="e">
        <f>ACOS(H83)</f>
        <v>#DIV/0!</v>
      </c>
      <c r="J83" t="e">
        <f>DEGREES(I83)</f>
        <v>#DIV/0!</v>
      </c>
      <c r="L83" t="e">
        <f>"[TestCase("&amp;A83&amp;", "&amp;B83&amp;", "&amp;C83&amp;", "&amp;D83&amp;", "&amp;ROUND(I83,6)&amp;")]"</f>
        <v>#DIV/0!</v>
      </c>
    </row>
    <row r="84" spans="1:12" x14ac:dyDescent="0.3">
      <c r="A84">
        <f t="shared" si="40"/>
        <v>1</v>
      </c>
      <c r="B84">
        <f t="shared" si="40"/>
        <v>0</v>
      </c>
      <c r="C84">
        <f t="shared" si="40"/>
        <v>2</v>
      </c>
      <c r="D84">
        <f t="shared" si="40"/>
        <v>0</v>
      </c>
      <c r="E84">
        <f t="shared" ref="E84:E101" si="43">A84*C84+B84*D84</f>
        <v>2</v>
      </c>
      <c r="F84">
        <f t="shared" ref="F84:F101" si="44">SQRT(A84^2+B84^2)</f>
        <v>1</v>
      </c>
      <c r="G84">
        <f t="shared" ref="G84:G101" si="45">SQRT(C84^2+D84^2)</f>
        <v>2</v>
      </c>
      <c r="H84">
        <f t="shared" ref="H84:H101" si="46">E84/(F84*G84)</f>
        <v>1</v>
      </c>
      <c r="I84">
        <f t="shared" ref="I84:I101" si="47">ACOS(H84)</f>
        <v>0</v>
      </c>
      <c r="J84">
        <f t="shared" ref="J84:J101" si="48">DEGREES(I84)</f>
        <v>0</v>
      </c>
      <c r="L84" t="str">
        <f t="shared" ref="L84:L101" si="49">"[TestCase("&amp;A84&amp;", "&amp;B84&amp;", "&amp;C84&amp;", "&amp;D84&amp;", "&amp;ROUND(I84,6)&amp;")]"</f>
        <v>[TestCase(1, 0, 2, 0, 0)]</v>
      </c>
    </row>
    <row r="85" spans="1:12" x14ac:dyDescent="0.3">
      <c r="A85">
        <f t="shared" si="40"/>
        <v>0</v>
      </c>
      <c r="B85">
        <f t="shared" si="40"/>
        <v>1</v>
      </c>
      <c r="C85">
        <f t="shared" si="40"/>
        <v>0</v>
      </c>
      <c r="D85">
        <f t="shared" si="40"/>
        <v>2</v>
      </c>
      <c r="E85">
        <f t="shared" si="43"/>
        <v>2</v>
      </c>
      <c r="F85">
        <f t="shared" si="44"/>
        <v>1</v>
      </c>
      <c r="G85">
        <f t="shared" si="45"/>
        <v>2</v>
      </c>
      <c r="H85">
        <f t="shared" si="46"/>
        <v>1</v>
      </c>
      <c r="I85">
        <f t="shared" si="47"/>
        <v>0</v>
      </c>
      <c r="J85">
        <f t="shared" si="48"/>
        <v>0</v>
      </c>
      <c r="L85" t="str">
        <f t="shared" si="49"/>
        <v>[TestCase(0, 1, 0, 2, 0)]</v>
      </c>
    </row>
    <row r="86" spans="1:12" x14ac:dyDescent="0.3">
      <c r="A86">
        <f t="shared" si="40"/>
        <v>1</v>
      </c>
      <c r="B86">
        <f t="shared" si="40"/>
        <v>2</v>
      </c>
      <c r="C86">
        <f t="shared" si="40"/>
        <v>2</v>
      </c>
      <c r="D86">
        <f t="shared" si="40"/>
        <v>4</v>
      </c>
      <c r="E86">
        <f t="shared" si="43"/>
        <v>10</v>
      </c>
      <c r="F86">
        <f t="shared" si="44"/>
        <v>2.2360679774997898</v>
      </c>
      <c r="G86">
        <f t="shared" si="45"/>
        <v>4.4721359549995796</v>
      </c>
      <c r="H86">
        <f t="shared" si="46"/>
        <v>0.99999999999999978</v>
      </c>
      <c r="I86">
        <f t="shared" si="47"/>
        <v>2.1073424116835326E-8</v>
      </c>
      <c r="J86">
        <f t="shared" si="48"/>
        <v>1.2074182617838684E-6</v>
      </c>
      <c r="L86" t="str">
        <f t="shared" si="49"/>
        <v>[TestCase(1, 2, 2, 4, 0)]</v>
      </c>
    </row>
    <row r="87" spans="1:12" x14ac:dyDescent="0.3">
      <c r="A87">
        <f t="shared" si="40"/>
        <v>1.1000000000000001</v>
      </c>
      <c r="B87">
        <f t="shared" si="40"/>
        <v>2.2000000000000002</v>
      </c>
      <c r="C87">
        <f t="shared" si="40"/>
        <v>2.1</v>
      </c>
      <c r="D87">
        <f t="shared" si="40"/>
        <v>4.2</v>
      </c>
      <c r="E87">
        <f t="shared" si="43"/>
        <v>11.550000000000002</v>
      </c>
      <c r="F87">
        <f t="shared" si="44"/>
        <v>2.459674775249769</v>
      </c>
      <c r="G87">
        <f t="shared" si="45"/>
        <v>4.6957427527495588</v>
      </c>
      <c r="H87">
        <f t="shared" si="46"/>
        <v>1</v>
      </c>
      <c r="I87">
        <f t="shared" si="47"/>
        <v>0</v>
      </c>
      <c r="J87">
        <f t="shared" si="48"/>
        <v>0</v>
      </c>
      <c r="L87" t="str">
        <f t="shared" si="49"/>
        <v>[TestCase(1.1, 2.2, 2.1, 4.2, 0)]</v>
      </c>
    </row>
    <row r="88" spans="1:12" x14ac:dyDescent="0.3">
      <c r="A88">
        <f t="shared" si="40"/>
        <v>2</v>
      </c>
      <c r="B88">
        <f t="shared" si="40"/>
        <v>1</v>
      </c>
      <c r="C88">
        <f t="shared" si="40"/>
        <v>1</v>
      </c>
      <c r="D88">
        <f t="shared" si="40"/>
        <v>2</v>
      </c>
      <c r="E88">
        <f t="shared" si="43"/>
        <v>4</v>
      </c>
      <c r="F88">
        <f t="shared" si="44"/>
        <v>2.2360679774997898</v>
      </c>
      <c r="G88">
        <f t="shared" si="45"/>
        <v>2.2360679774997898</v>
      </c>
      <c r="H88">
        <f t="shared" si="46"/>
        <v>0.79999999999999982</v>
      </c>
      <c r="I88">
        <f t="shared" si="47"/>
        <v>0.64350110879328459</v>
      </c>
      <c r="J88">
        <f t="shared" si="48"/>
        <v>36.869897645844034</v>
      </c>
      <c r="K88" t="s">
        <v>121</v>
      </c>
      <c r="L88" t="str">
        <f t="shared" si="49"/>
        <v>[TestCase(2, 1, 1, 2, 0.643501)]</v>
      </c>
    </row>
    <row r="89" spans="1:12" x14ac:dyDescent="0.3">
      <c r="A89">
        <f t="shared" si="40"/>
        <v>1</v>
      </c>
      <c r="B89">
        <f t="shared" si="40"/>
        <v>0</v>
      </c>
      <c r="C89">
        <f t="shared" si="40"/>
        <v>0</v>
      </c>
      <c r="D89">
        <f t="shared" si="40"/>
        <v>1</v>
      </c>
      <c r="E89">
        <f t="shared" si="43"/>
        <v>0</v>
      </c>
      <c r="F89">
        <f t="shared" si="44"/>
        <v>1</v>
      </c>
      <c r="G89">
        <f t="shared" si="45"/>
        <v>1</v>
      </c>
      <c r="H89">
        <f t="shared" si="46"/>
        <v>0</v>
      </c>
      <c r="I89">
        <f t="shared" si="47"/>
        <v>1.5707963267948966</v>
      </c>
      <c r="J89">
        <f t="shared" si="48"/>
        <v>90</v>
      </c>
      <c r="L89" t="str">
        <f t="shared" si="49"/>
        <v>[TestCase(1, 0, 0, 1, 1.570796)]</v>
      </c>
    </row>
    <row r="90" spans="1:12" x14ac:dyDescent="0.3">
      <c r="A90">
        <f t="shared" si="40"/>
        <v>0</v>
      </c>
      <c r="B90">
        <f t="shared" si="40"/>
        <v>1</v>
      </c>
      <c r="C90">
        <f t="shared" si="40"/>
        <v>-1</v>
      </c>
      <c r="D90">
        <f t="shared" si="40"/>
        <v>0</v>
      </c>
      <c r="E90">
        <f t="shared" si="43"/>
        <v>0</v>
      </c>
      <c r="F90">
        <f t="shared" si="44"/>
        <v>1</v>
      </c>
      <c r="G90">
        <f t="shared" si="45"/>
        <v>1</v>
      </c>
      <c r="H90">
        <f t="shared" si="46"/>
        <v>0</v>
      </c>
      <c r="I90">
        <f t="shared" si="47"/>
        <v>1.5707963267948966</v>
      </c>
      <c r="J90">
        <f t="shared" si="48"/>
        <v>90</v>
      </c>
      <c r="L90" t="str">
        <f t="shared" si="49"/>
        <v>[TestCase(0, 1, -1, 0, 1.570796)]</v>
      </c>
    </row>
    <row r="91" spans="1:12" x14ac:dyDescent="0.3">
      <c r="A91">
        <f t="shared" si="40"/>
        <v>-1</v>
      </c>
      <c r="B91">
        <f t="shared" si="40"/>
        <v>0</v>
      </c>
      <c r="C91">
        <f t="shared" si="40"/>
        <v>0</v>
      </c>
      <c r="D91">
        <f t="shared" si="40"/>
        <v>-1</v>
      </c>
      <c r="E91">
        <f t="shared" si="43"/>
        <v>0</v>
      </c>
      <c r="F91">
        <f t="shared" si="44"/>
        <v>1</v>
      </c>
      <c r="G91">
        <f t="shared" si="45"/>
        <v>1</v>
      </c>
      <c r="H91">
        <f t="shared" si="46"/>
        <v>0</v>
      </c>
      <c r="I91">
        <f t="shared" si="47"/>
        <v>1.5707963267948966</v>
      </c>
      <c r="J91">
        <f t="shared" si="48"/>
        <v>90</v>
      </c>
      <c r="L91" t="str">
        <f t="shared" si="49"/>
        <v>[TestCase(-1, 0, 0, -1, 1.570796)]</v>
      </c>
    </row>
    <row r="92" spans="1:12" x14ac:dyDescent="0.3">
      <c r="A92">
        <f t="shared" si="40"/>
        <v>0</v>
      </c>
      <c r="B92">
        <f t="shared" si="40"/>
        <v>-1</v>
      </c>
      <c r="C92">
        <f t="shared" si="40"/>
        <v>1</v>
      </c>
      <c r="D92">
        <f t="shared" si="40"/>
        <v>0</v>
      </c>
      <c r="E92">
        <f t="shared" si="43"/>
        <v>0</v>
      </c>
      <c r="F92">
        <f t="shared" si="44"/>
        <v>1</v>
      </c>
      <c r="G92">
        <f t="shared" si="45"/>
        <v>1</v>
      </c>
      <c r="H92">
        <f t="shared" si="46"/>
        <v>0</v>
      </c>
      <c r="I92">
        <f t="shared" si="47"/>
        <v>1.5707963267948966</v>
      </c>
      <c r="J92">
        <f t="shared" si="48"/>
        <v>90</v>
      </c>
      <c r="L92" t="str">
        <f t="shared" si="49"/>
        <v>[TestCase(0, -1, 1, 0, 1.570796)]</v>
      </c>
    </row>
    <row r="93" spans="1:12" x14ac:dyDescent="0.3">
      <c r="A93">
        <f t="shared" si="40"/>
        <v>1</v>
      </c>
      <c r="B93">
        <f t="shared" si="40"/>
        <v>0</v>
      </c>
      <c r="C93">
        <f t="shared" si="40"/>
        <v>0</v>
      </c>
      <c r="D93">
        <f t="shared" si="40"/>
        <v>-1</v>
      </c>
      <c r="E93">
        <f t="shared" si="43"/>
        <v>0</v>
      </c>
      <c r="F93">
        <f t="shared" si="44"/>
        <v>1</v>
      </c>
      <c r="G93">
        <f t="shared" si="45"/>
        <v>1</v>
      </c>
      <c r="H93">
        <f t="shared" si="46"/>
        <v>0</v>
      </c>
      <c r="I93">
        <f t="shared" si="47"/>
        <v>1.5707963267948966</v>
      </c>
      <c r="J93">
        <f t="shared" si="48"/>
        <v>90</v>
      </c>
      <c r="L93" t="str">
        <f t="shared" si="49"/>
        <v>[TestCase(1, 0, 0, -1, 1.570796)]</v>
      </c>
    </row>
    <row r="94" spans="1:12" x14ac:dyDescent="0.3">
      <c r="A94">
        <f t="shared" si="40"/>
        <v>1</v>
      </c>
      <c r="B94">
        <f t="shared" si="40"/>
        <v>2</v>
      </c>
      <c r="C94">
        <f t="shared" si="40"/>
        <v>-2</v>
      </c>
      <c r="D94">
        <f t="shared" si="40"/>
        <v>1</v>
      </c>
      <c r="E94">
        <f t="shared" si="43"/>
        <v>0</v>
      </c>
      <c r="F94">
        <f t="shared" si="44"/>
        <v>2.2360679774997898</v>
      </c>
      <c r="G94">
        <f t="shared" si="45"/>
        <v>2.2360679774997898</v>
      </c>
      <c r="H94">
        <f t="shared" si="46"/>
        <v>0</v>
      </c>
      <c r="I94">
        <f t="shared" si="47"/>
        <v>1.5707963267948966</v>
      </c>
      <c r="J94">
        <f t="shared" si="48"/>
        <v>90</v>
      </c>
      <c r="L94" t="str">
        <f t="shared" si="49"/>
        <v>[TestCase(1, 2, -2, 1, 1.570796)]</v>
      </c>
    </row>
    <row r="95" spans="1:12" x14ac:dyDescent="0.3">
      <c r="A95">
        <f t="shared" si="40"/>
        <v>-2</v>
      </c>
      <c r="B95">
        <f t="shared" si="40"/>
        <v>1</v>
      </c>
      <c r="C95">
        <f t="shared" si="40"/>
        <v>1</v>
      </c>
      <c r="D95">
        <f t="shared" si="40"/>
        <v>-2</v>
      </c>
      <c r="E95">
        <f t="shared" si="43"/>
        <v>-4</v>
      </c>
      <c r="F95">
        <f t="shared" si="44"/>
        <v>2.2360679774997898</v>
      </c>
      <c r="G95">
        <f t="shared" si="45"/>
        <v>2.2360679774997898</v>
      </c>
      <c r="H95">
        <f t="shared" si="46"/>
        <v>-0.79999999999999982</v>
      </c>
      <c r="I95">
        <f t="shared" si="47"/>
        <v>2.4980915447965084</v>
      </c>
      <c r="J95">
        <f t="shared" si="48"/>
        <v>143.13010235415595</v>
      </c>
      <c r="K95" t="s">
        <v>122</v>
      </c>
      <c r="L95" t="str">
        <f t="shared" si="49"/>
        <v>[TestCase(-2, 1, 1, -2, 2.498092)]</v>
      </c>
    </row>
    <row r="96" spans="1:12" x14ac:dyDescent="0.3">
      <c r="A96">
        <f t="shared" si="40"/>
        <v>1</v>
      </c>
      <c r="B96">
        <f t="shared" si="40"/>
        <v>0</v>
      </c>
      <c r="C96">
        <f t="shared" si="40"/>
        <v>-2</v>
      </c>
      <c r="D96">
        <f t="shared" si="40"/>
        <v>0</v>
      </c>
      <c r="E96">
        <f t="shared" si="43"/>
        <v>-2</v>
      </c>
      <c r="F96">
        <f t="shared" si="44"/>
        <v>1</v>
      </c>
      <c r="G96">
        <f t="shared" si="45"/>
        <v>2</v>
      </c>
      <c r="H96">
        <f t="shared" si="46"/>
        <v>-1</v>
      </c>
      <c r="I96">
        <f t="shared" si="47"/>
        <v>3.1415926535897931</v>
      </c>
      <c r="J96">
        <f t="shared" si="48"/>
        <v>180</v>
      </c>
      <c r="L96" t="str">
        <f t="shared" si="49"/>
        <v>[TestCase(1, 0, -2, 0, 3.141593)]</v>
      </c>
    </row>
    <row r="97" spans="1:16" x14ac:dyDescent="0.3">
      <c r="A97">
        <f t="shared" si="40"/>
        <v>0</v>
      </c>
      <c r="B97">
        <f t="shared" si="40"/>
        <v>1</v>
      </c>
      <c r="C97">
        <f t="shared" si="40"/>
        <v>0</v>
      </c>
      <c r="D97">
        <f t="shared" si="40"/>
        <v>-2</v>
      </c>
      <c r="E97">
        <f t="shared" si="43"/>
        <v>-2</v>
      </c>
      <c r="F97">
        <f t="shared" si="44"/>
        <v>1</v>
      </c>
      <c r="G97">
        <f t="shared" si="45"/>
        <v>2</v>
      </c>
      <c r="H97">
        <f t="shared" si="46"/>
        <v>-1</v>
      </c>
      <c r="I97">
        <f t="shared" si="47"/>
        <v>3.1415926535897931</v>
      </c>
      <c r="J97">
        <f t="shared" si="48"/>
        <v>180</v>
      </c>
      <c r="L97" t="str">
        <f t="shared" si="49"/>
        <v>[TestCase(0, 1, 0, -2, 3.141593)]</v>
      </c>
    </row>
    <row r="98" spans="1:16" x14ac:dyDescent="0.3">
      <c r="A98">
        <f t="shared" si="40"/>
        <v>1</v>
      </c>
      <c r="B98">
        <f t="shared" si="40"/>
        <v>2</v>
      </c>
      <c r="C98">
        <f t="shared" si="40"/>
        <v>-2</v>
      </c>
      <c r="D98">
        <f t="shared" si="40"/>
        <v>-4</v>
      </c>
      <c r="E98">
        <f t="shared" si="43"/>
        <v>-10</v>
      </c>
      <c r="F98">
        <f t="shared" si="44"/>
        <v>2.2360679774997898</v>
      </c>
      <c r="G98">
        <f t="shared" si="45"/>
        <v>4.4721359549995796</v>
      </c>
      <c r="H98">
        <f t="shared" si="46"/>
        <v>-0.99999999999999978</v>
      </c>
      <c r="I98">
        <f t="shared" si="47"/>
        <v>3.1415926325163692</v>
      </c>
      <c r="J98">
        <f t="shared" si="48"/>
        <v>179.99999879258175</v>
      </c>
      <c r="L98" t="str">
        <f t="shared" si="49"/>
        <v>[TestCase(1, 2, -2, -4, 3.141593)]</v>
      </c>
    </row>
    <row r="99" spans="1:16" x14ac:dyDescent="0.3">
      <c r="A99">
        <f t="shared" si="40"/>
        <v>1.1000000000000001</v>
      </c>
      <c r="B99">
        <f t="shared" si="40"/>
        <v>2.2000000000000002</v>
      </c>
      <c r="C99">
        <f t="shared" si="40"/>
        <v>-2.1</v>
      </c>
      <c r="D99">
        <f t="shared" si="40"/>
        <v>-4.2</v>
      </c>
      <c r="E99">
        <f t="shared" si="43"/>
        <v>-11.550000000000002</v>
      </c>
      <c r="F99">
        <f t="shared" si="44"/>
        <v>2.459674775249769</v>
      </c>
      <c r="G99">
        <f t="shared" si="45"/>
        <v>4.6957427527495588</v>
      </c>
      <c r="H99">
        <f t="shared" si="46"/>
        <v>-1</v>
      </c>
      <c r="I99">
        <f t="shared" si="47"/>
        <v>3.1415926535897931</v>
      </c>
      <c r="J99">
        <f t="shared" si="48"/>
        <v>180</v>
      </c>
      <c r="L99" t="str">
        <f t="shared" si="49"/>
        <v>[TestCase(1.1, 2.2, -2.1, -4.2, 3.141593)]</v>
      </c>
    </row>
    <row r="100" spans="1:16" x14ac:dyDescent="0.3">
      <c r="A100">
        <v>1</v>
      </c>
      <c r="B100">
        <v>0</v>
      </c>
      <c r="C100">
        <v>-1</v>
      </c>
      <c r="D100">
        <v>-1</v>
      </c>
      <c r="E100">
        <f t="shared" ref="E100" si="50">A100*C100+B100*D100</f>
        <v>-1</v>
      </c>
      <c r="F100">
        <f t="shared" si="44"/>
        <v>1</v>
      </c>
      <c r="G100">
        <f t="shared" si="45"/>
        <v>1.4142135623730951</v>
      </c>
      <c r="H100">
        <f t="shared" si="46"/>
        <v>-0.70710678118654746</v>
      </c>
      <c r="I100">
        <f t="shared" si="47"/>
        <v>2.3561944901923448</v>
      </c>
      <c r="J100">
        <f t="shared" si="48"/>
        <v>135</v>
      </c>
      <c r="K100" t="s">
        <v>124</v>
      </c>
      <c r="L100" t="str">
        <f t="shared" si="49"/>
        <v>[TestCase(1, 0, -1, -1, 2.356194)]</v>
      </c>
    </row>
    <row r="101" spans="1:16" x14ac:dyDescent="0.3">
      <c r="A101">
        <v>1</v>
      </c>
      <c r="B101">
        <v>0</v>
      </c>
      <c r="C101">
        <v>1</v>
      </c>
      <c r="D101">
        <v>-1</v>
      </c>
      <c r="E101">
        <f t="shared" si="43"/>
        <v>1</v>
      </c>
      <c r="F101">
        <f t="shared" si="44"/>
        <v>1</v>
      </c>
      <c r="G101">
        <f t="shared" si="45"/>
        <v>1.4142135623730951</v>
      </c>
      <c r="H101">
        <f t="shared" si="46"/>
        <v>0.70710678118654746</v>
      </c>
      <c r="I101">
        <f t="shared" si="47"/>
        <v>0.78539816339744828</v>
      </c>
      <c r="J101">
        <f t="shared" si="48"/>
        <v>45</v>
      </c>
      <c r="K101" t="s">
        <v>123</v>
      </c>
      <c r="L101" t="str">
        <f t="shared" si="49"/>
        <v>[TestCase(1, 0, 1, -1, 0.785398)]</v>
      </c>
    </row>
    <row r="103" spans="1:16" s="2" customFormat="1" x14ac:dyDescent="0.3">
      <c r="A103" s="2" t="s">
        <v>131</v>
      </c>
    </row>
    <row r="104" spans="1:16" s="3" customFormat="1" x14ac:dyDescent="0.3">
      <c r="E104" s="117" t="s">
        <v>129</v>
      </c>
      <c r="F104" s="117"/>
      <c r="G104" s="117" t="s">
        <v>130</v>
      </c>
      <c r="H104" s="117"/>
    </row>
    <row r="105" spans="1:16" s="6" customFormat="1" x14ac:dyDescent="0.3">
      <c r="A105" s="6" t="s">
        <v>125</v>
      </c>
      <c r="B105" s="6" t="s">
        <v>126</v>
      </c>
      <c r="C105" s="6" t="s">
        <v>127</v>
      </c>
      <c r="D105" s="6" t="s">
        <v>128</v>
      </c>
      <c r="E105" s="23" t="s">
        <v>91</v>
      </c>
      <c r="F105" s="23" t="s">
        <v>92</v>
      </c>
      <c r="G105" s="23" t="s">
        <v>91</v>
      </c>
      <c r="H105" s="23" t="s">
        <v>92</v>
      </c>
      <c r="I105" s="6" t="s">
        <v>132</v>
      </c>
      <c r="J105" s="6" t="s">
        <v>133</v>
      </c>
      <c r="K105" s="6" t="s">
        <v>134</v>
      </c>
    </row>
    <row r="106" spans="1:16" s="25" customFormat="1" x14ac:dyDescent="0.3">
      <c r="A106" s="25">
        <v>0</v>
      </c>
      <c r="B106" s="25">
        <v>0</v>
      </c>
      <c r="C106" s="25">
        <v>0</v>
      </c>
      <c r="D106" s="25">
        <v>0</v>
      </c>
      <c r="E106" s="25">
        <f>C106-A106</f>
        <v>0</v>
      </c>
      <c r="F106" s="25">
        <f>D106-B106</f>
        <v>0</v>
      </c>
      <c r="G106" s="25" t="e">
        <f>#REF!-#REF!</f>
        <v>#REF!</v>
      </c>
      <c r="H106" s="25" t="e">
        <f>-#REF!-#REF!</f>
        <v>#REF!</v>
      </c>
    </row>
    <row r="107" spans="1:16" s="25" customFormat="1" x14ac:dyDescent="0.3">
      <c r="A107" s="25">
        <f>A106+0.5</f>
        <v>0.5</v>
      </c>
      <c r="B107" s="25">
        <f>B106+0.5</f>
        <v>0.5</v>
      </c>
      <c r="C107" s="25">
        <f>C106+0.5</f>
        <v>0.5</v>
      </c>
      <c r="D107" s="25">
        <f>D106+0.5</f>
        <v>0.5</v>
      </c>
      <c r="E107" s="25" t="e">
        <f>(C107-A107)/(SQRT((C107-A107)^2+(B107-D107)^2))</f>
        <v>#DIV/0!</v>
      </c>
      <c r="F107" s="25" t="e">
        <f>(D107-B107)/(SQRT((C107-A107)^2+(B107-D107)^2))</f>
        <v>#DIV/0!</v>
      </c>
      <c r="G107" s="25" t="e">
        <f t="shared" ref="G107:G125" si="51">-F107</f>
        <v>#DIV/0!</v>
      </c>
      <c r="H107" s="25" t="e">
        <f t="shared" ref="H107:H125" si="52">E107</f>
        <v>#DIV/0!</v>
      </c>
      <c r="O107" s="25" t="e">
        <f t="shared" ref="O107:O125" si="53">"[TestCase("&amp;A107&amp;", "&amp;B107&amp;", "&amp;C107&amp;", "&amp;D107&amp;", "&amp;ROUND(E107,6)&amp;", "&amp;ROUND(F107,6)&amp;")]"</f>
        <v>#DIV/0!</v>
      </c>
      <c r="P107" s="25" t="e">
        <f t="shared" ref="P107:P125" si="54">"[TestCase("&amp;A107&amp;", "&amp;B107&amp;", "&amp;C107&amp;", "&amp;D107&amp;", "&amp;ROUND(G107,6)&amp;", "&amp;ROUND(H107,6)&amp;")]"</f>
        <v>#DIV/0!</v>
      </c>
    </row>
    <row r="108" spans="1:16" x14ac:dyDescent="0.3">
      <c r="A108">
        <v>0</v>
      </c>
      <c r="B108">
        <v>0</v>
      </c>
      <c r="C108">
        <v>1</v>
      </c>
      <c r="D108">
        <v>0</v>
      </c>
      <c r="E108" s="24">
        <f>(C108-A108)/(SQRT((C108-A108)^2+(B108-D108)^2))</f>
        <v>1</v>
      </c>
      <c r="F108" s="24">
        <f>(D108-B108)/(SQRT((C108-A108)^2+(B108-D108)^2))</f>
        <v>0</v>
      </c>
      <c r="G108" s="24">
        <f t="shared" si="51"/>
        <v>0</v>
      </c>
      <c r="H108" s="24">
        <f t="shared" si="52"/>
        <v>1</v>
      </c>
      <c r="I108">
        <v>0</v>
      </c>
      <c r="J108">
        <f t="shared" ref="J108:J115" si="55">I108</f>
        <v>0</v>
      </c>
      <c r="K108">
        <f t="shared" ref="K108:K115" si="56">J108+90-IF(J108+90&gt;=360,360,0)</f>
        <v>90</v>
      </c>
      <c r="L108">
        <f t="shared" ref="L108:L115" si="57">DEGREES(ATAN(F108/E108))</f>
        <v>0</v>
      </c>
      <c r="M108">
        <f t="shared" ref="M108:M115" si="58">DEGREES(ATAN(G108/H108))</f>
        <v>0</v>
      </c>
      <c r="O108" t="str">
        <f t="shared" si="53"/>
        <v>[TestCase(0, 0, 1, 0, 1, 0)]</v>
      </c>
      <c r="P108" t="str">
        <f t="shared" si="54"/>
        <v>[TestCase(0, 0, 1, 0, 0, 1)]</v>
      </c>
    </row>
    <row r="109" spans="1:16" x14ac:dyDescent="0.3">
      <c r="A109">
        <v>0</v>
      </c>
      <c r="B109">
        <v>0</v>
      </c>
      <c r="C109">
        <v>1</v>
      </c>
      <c r="D109">
        <v>1</v>
      </c>
      <c r="E109" s="24">
        <f t="shared" ref="E109:E125" si="59">(C109-A109)/(SQRT((C109-A109)^2+(B109-D109)^2))</f>
        <v>0.70710678118654746</v>
      </c>
      <c r="F109" s="24">
        <f t="shared" ref="F109:F125" si="60">(D109-B109)/(SQRT((C109-A109)^2+(B109-D109)^2))</f>
        <v>0.70710678118654746</v>
      </c>
      <c r="G109" s="24">
        <f t="shared" si="51"/>
        <v>-0.70710678118654746</v>
      </c>
      <c r="H109" s="24">
        <f t="shared" si="52"/>
        <v>0.70710678118654746</v>
      </c>
      <c r="I109">
        <v>45</v>
      </c>
      <c r="J109">
        <f t="shared" si="55"/>
        <v>45</v>
      </c>
      <c r="K109">
        <f t="shared" si="56"/>
        <v>135</v>
      </c>
      <c r="L109">
        <f t="shared" si="57"/>
        <v>45</v>
      </c>
      <c r="M109">
        <f t="shared" si="58"/>
        <v>-45</v>
      </c>
      <c r="O109" t="str">
        <f t="shared" si="53"/>
        <v>[TestCase(0, 0, 1, 1, 0.707107, 0.707107)]</v>
      </c>
      <c r="P109" t="str">
        <f t="shared" si="54"/>
        <v>[TestCase(0, 0, 1, 1, -0.707107, 0.707107)]</v>
      </c>
    </row>
    <row r="110" spans="1:16" x14ac:dyDescent="0.3">
      <c r="A110">
        <v>0</v>
      </c>
      <c r="B110">
        <v>0</v>
      </c>
      <c r="C110">
        <v>0</v>
      </c>
      <c r="D110">
        <v>1</v>
      </c>
      <c r="E110" s="24">
        <f t="shared" si="59"/>
        <v>0</v>
      </c>
      <c r="F110" s="24">
        <f t="shared" si="60"/>
        <v>1</v>
      </c>
      <c r="G110" s="24">
        <f t="shared" si="51"/>
        <v>-1</v>
      </c>
      <c r="H110" s="24">
        <f t="shared" si="52"/>
        <v>0</v>
      </c>
      <c r="I110">
        <v>90</v>
      </c>
      <c r="J110">
        <f t="shared" si="55"/>
        <v>90</v>
      </c>
      <c r="K110">
        <f t="shared" si="56"/>
        <v>180</v>
      </c>
      <c r="L110" t="e">
        <f t="shared" si="57"/>
        <v>#DIV/0!</v>
      </c>
      <c r="M110" t="e">
        <f t="shared" si="58"/>
        <v>#DIV/0!</v>
      </c>
      <c r="O110" t="str">
        <f t="shared" si="53"/>
        <v>[TestCase(0, 0, 0, 1, 0, 1)]</v>
      </c>
      <c r="P110" t="str">
        <f t="shared" si="54"/>
        <v>[TestCase(0, 0, 0, 1, -1, 0)]</v>
      </c>
    </row>
    <row r="111" spans="1:16" x14ac:dyDescent="0.3">
      <c r="A111">
        <v>0</v>
      </c>
      <c r="B111">
        <v>0</v>
      </c>
      <c r="C111">
        <v>-1</v>
      </c>
      <c r="D111">
        <v>1</v>
      </c>
      <c r="E111" s="24">
        <f t="shared" si="59"/>
        <v>-0.70710678118654746</v>
      </c>
      <c r="F111" s="24">
        <f t="shared" si="60"/>
        <v>0.70710678118654746</v>
      </c>
      <c r="G111" s="24">
        <f t="shared" si="51"/>
        <v>-0.70710678118654746</v>
      </c>
      <c r="H111" s="24">
        <f t="shared" si="52"/>
        <v>-0.70710678118654746</v>
      </c>
      <c r="I111">
        <v>135</v>
      </c>
      <c r="J111">
        <f t="shared" si="55"/>
        <v>135</v>
      </c>
      <c r="K111">
        <f t="shared" si="56"/>
        <v>225</v>
      </c>
      <c r="L111">
        <f t="shared" si="57"/>
        <v>-45</v>
      </c>
      <c r="M111">
        <f t="shared" si="58"/>
        <v>45</v>
      </c>
      <c r="O111" t="str">
        <f t="shared" si="53"/>
        <v>[TestCase(0, 0, -1, 1, -0.707107, 0.707107)]</v>
      </c>
      <c r="P111" t="str">
        <f t="shared" si="54"/>
        <v>[TestCase(0, 0, -1, 1, -0.707107, -0.707107)]</v>
      </c>
    </row>
    <row r="112" spans="1:16" x14ac:dyDescent="0.3">
      <c r="A112">
        <v>0</v>
      </c>
      <c r="B112">
        <v>0</v>
      </c>
      <c r="C112">
        <v>-1</v>
      </c>
      <c r="D112">
        <v>0</v>
      </c>
      <c r="E112" s="24">
        <f t="shared" si="59"/>
        <v>-1</v>
      </c>
      <c r="F112" s="24">
        <f t="shared" si="60"/>
        <v>0</v>
      </c>
      <c r="G112" s="24">
        <f t="shared" si="51"/>
        <v>0</v>
      </c>
      <c r="H112" s="24">
        <f t="shared" si="52"/>
        <v>-1</v>
      </c>
      <c r="I112">
        <v>180</v>
      </c>
      <c r="J112">
        <f t="shared" si="55"/>
        <v>180</v>
      </c>
      <c r="K112">
        <f t="shared" si="56"/>
        <v>270</v>
      </c>
      <c r="L112">
        <f t="shared" si="57"/>
        <v>0</v>
      </c>
      <c r="M112">
        <f t="shared" si="58"/>
        <v>0</v>
      </c>
      <c r="O112" t="str">
        <f t="shared" si="53"/>
        <v>[TestCase(0, 0, -1, 0, -1, 0)]</v>
      </c>
      <c r="P112" t="str">
        <f t="shared" si="54"/>
        <v>[TestCase(0, 0, -1, 0, 0, -1)]</v>
      </c>
    </row>
    <row r="113" spans="1:16" x14ac:dyDescent="0.3">
      <c r="A113">
        <v>0</v>
      </c>
      <c r="B113">
        <v>0</v>
      </c>
      <c r="C113">
        <v>-1</v>
      </c>
      <c r="D113">
        <v>-1</v>
      </c>
      <c r="E113" s="24">
        <f t="shared" si="59"/>
        <v>-0.70710678118654746</v>
      </c>
      <c r="F113" s="24">
        <f t="shared" si="60"/>
        <v>-0.70710678118654746</v>
      </c>
      <c r="G113" s="24">
        <f t="shared" si="51"/>
        <v>0.70710678118654746</v>
      </c>
      <c r="H113" s="24">
        <f t="shared" si="52"/>
        <v>-0.70710678118654746</v>
      </c>
      <c r="I113">
        <v>225</v>
      </c>
      <c r="J113">
        <f t="shared" si="55"/>
        <v>225</v>
      </c>
      <c r="K113">
        <f t="shared" si="56"/>
        <v>315</v>
      </c>
      <c r="L113">
        <f t="shared" si="57"/>
        <v>45</v>
      </c>
      <c r="M113">
        <f t="shared" si="58"/>
        <v>-45</v>
      </c>
      <c r="O113" t="str">
        <f t="shared" si="53"/>
        <v>[TestCase(0, 0, -1, -1, -0.707107, -0.707107)]</v>
      </c>
      <c r="P113" t="str">
        <f t="shared" si="54"/>
        <v>[TestCase(0, 0, -1, -1, 0.707107, -0.707107)]</v>
      </c>
    </row>
    <row r="114" spans="1:16" x14ac:dyDescent="0.3">
      <c r="A114">
        <v>0</v>
      </c>
      <c r="B114">
        <v>0</v>
      </c>
      <c r="C114">
        <v>0</v>
      </c>
      <c r="D114">
        <v>-1</v>
      </c>
      <c r="E114" s="24">
        <f t="shared" si="59"/>
        <v>0</v>
      </c>
      <c r="F114" s="24">
        <f t="shared" si="60"/>
        <v>-1</v>
      </c>
      <c r="G114" s="24">
        <f t="shared" si="51"/>
        <v>1</v>
      </c>
      <c r="H114" s="24">
        <f t="shared" si="52"/>
        <v>0</v>
      </c>
      <c r="I114">
        <v>270</v>
      </c>
      <c r="J114">
        <f t="shared" si="55"/>
        <v>270</v>
      </c>
      <c r="K114">
        <f t="shared" si="56"/>
        <v>0</v>
      </c>
      <c r="L114" t="e">
        <f t="shared" si="57"/>
        <v>#DIV/0!</v>
      </c>
      <c r="M114" t="e">
        <f t="shared" si="58"/>
        <v>#DIV/0!</v>
      </c>
      <c r="O114" t="str">
        <f t="shared" si="53"/>
        <v>[TestCase(0, 0, 0, -1, 0, -1)]</v>
      </c>
      <c r="P114" t="str">
        <f t="shared" si="54"/>
        <v>[TestCase(0, 0, 0, -1, 1, 0)]</v>
      </c>
    </row>
    <row r="115" spans="1:16" x14ac:dyDescent="0.3">
      <c r="A115">
        <v>0</v>
      </c>
      <c r="B115">
        <v>0</v>
      </c>
      <c r="C115">
        <v>1</v>
      </c>
      <c r="D115">
        <v>-1</v>
      </c>
      <c r="E115" s="24">
        <f t="shared" si="59"/>
        <v>0.70710678118654746</v>
      </c>
      <c r="F115" s="24">
        <f t="shared" si="60"/>
        <v>-0.70710678118654746</v>
      </c>
      <c r="G115" s="24">
        <f t="shared" si="51"/>
        <v>0.70710678118654746</v>
      </c>
      <c r="H115" s="24">
        <f t="shared" si="52"/>
        <v>0.70710678118654746</v>
      </c>
      <c r="I115">
        <v>315</v>
      </c>
      <c r="J115">
        <f t="shared" si="55"/>
        <v>315</v>
      </c>
      <c r="K115">
        <f t="shared" si="56"/>
        <v>45</v>
      </c>
      <c r="L115">
        <f t="shared" si="57"/>
        <v>-45</v>
      </c>
      <c r="M115">
        <f t="shared" si="58"/>
        <v>45</v>
      </c>
      <c r="O115" t="str">
        <f t="shared" si="53"/>
        <v>[TestCase(0, 0, 1, -1, 0.707107, -0.707107)]</v>
      </c>
      <c r="P115" t="str">
        <f t="shared" si="54"/>
        <v>[TestCase(0, 0, 1, -1, 0.707107, 0.707107)]</v>
      </c>
    </row>
    <row r="116" spans="1:16" x14ac:dyDescent="0.3">
      <c r="A116">
        <v>2</v>
      </c>
      <c r="B116">
        <v>3</v>
      </c>
      <c r="C116">
        <v>0</v>
      </c>
      <c r="D116">
        <v>0</v>
      </c>
      <c r="E116" s="24">
        <f t="shared" si="59"/>
        <v>-0.55470019622522915</v>
      </c>
      <c r="F116" s="24">
        <f t="shared" si="60"/>
        <v>-0.83205029433784372</v>
      </c>
      <c r="G116" s="24">
        <f t="shared" si="51"/>
        <v>0.83205029433784372</v>
      </c>
      <c r="H116" s="24">
        <f t="shared" si="52"/>
        <v>-0.55470019622522915</v>
      </c>
      <c r="O116" t="str">
        <f t="shared" si="53"/>
        <v>[TestCase(2, 3, 0, 0, -0.5547, -0.83205)]</v>
      </c>
      <c r="P116" t="str">
        <f t="shared" si="54"/>
        <v>[TestCase(2, 3, 0, 0, 0.83205, -0.5547)]</v>
      </c>
    </row>
    <row r="117" spans="1:16" x14ac:dyDescent="0.3">
      <c r="A117">
        <f t="shared" ref="A117:D125" si="61">A108+0.5</f>
        <v>0.5</v>
      </c>
      <c r="B117">
        <f t="shared" si="61"/>
        <v>0.5</v>
      </c>
      <c r="C117">
        <f t="shared" si="61"/>
        <v>1.5</v>
      </c>
      <c r="D117">
        <f t="shared" si="61"/>
        <v>0.5</v>
      </c>
      <c r="E117" s="24">
        <f t="shared" si="59"/>
        <v>1</v>
      </c>
      <c r="F117" s="24">
        <f t="shared" si="60"/>
        <v>0</v>
      </c>
      <c r="G117" s="24">
        <f t="shared" si="51"/>
        <v>0</v>
      </c>
      <c r="H117" s="24">
        <f t="shared" si="52"/>
        <v>1</v>
      </c>
      <c r="I117">
        <v>0</v>
      </c>
      <c r="J117">
        <f t="shared" ref="J117:J124" si="62">I117</f>
        <v>0</v>
      </c>
      <c r="K117">
        <f t="shared" ref="K117:K124" si="63">J117+90-IF(J117+90&gt;=360,360,0)</f>
        <v>90</v>
      </c>
      <c r="O117" t="str">
        <f t="shared" si="53"/>
        <v>[TestCase(0.5, 0.5, 1.5, 0.5, 1, 0)]</v>
      </c>
      <c r="P117" t="str">
        <f t="shared" si="54"/>
        <v>[TestCase(0.5, 0.5, 1.5, 0.5, 0, 1)]</v>
      </c>
    </row>
    <row r="118" spans="1:16" x14ac:dyDescent="0.3">
      <c r="A118">
        <f t="shared" si="61"/>
        <v>0.5</v>
      </c>
      <c r="B118">
        <f t="shared" si="61"/>
        <v>0.5</v>
      </c>
      <c r="C118">
        <f t="shared" si="61"/>
        <v>1.5</v>
      </c>
      <c r="D118">
        <f t="shared" si="61"/>
        <v>1.5</v>
      </c>
      <c r="E118" s="24">
        <f t="shared" si="59"/>
        <v>0.70710678118654746</v>
      </c>
      <c r="F118" s="24">
        <f t="shared" si="60"/>
        <v>0.70710678118654746</v>
      </c>
      <c r="G118" s="24">
        <f t="shared" si="51"/>
        <v>-0.70710678118654746</v>
      </c>
      <c r="H118" s="24">
        <f t="shared" si="52"/>
        <v>0.70710678118654746</v>
      </c>
      <c r="I118">
        <v>45</v>
      </c>
      <c r="J118">
        <f t="shared" si="62"/>
        <v>45</v>
      </c>
      <c r="K118">
        <f t="shared" si="63"/>
        <v>135</v>
      </c>
      <c r="O118" t="str">
        <f t="shared" si="53"/>
        <v>[TestCase(0.5, 0.5, 1.5, 1.5, 0.707107, 0.707107)]</v>
      </c>
      <c r="P118" t="str">
        <f t="shared" si="54"/>
        <v>[TestCase(0.5, 0.5, 1.5, 1.5, -0.707107, 0.707107)]</v>
      </c>
    </row>
    <row r="119" spans="1:16" x14ac:dyDescent="0.3">
      <c r="A119">
        <f t="shared" si="61"/>
        <v>0.5</v>
      </c>
      <c r="B119">
        <f t="shared" si="61"/>
        <v>0.5</v>
      </c>
      <c r="C119">
        <f t="shared" si="61"/>
        <v>0.5</v>
      </c>
      <c r="D119">
        <f t="shared" si="61"/>
        <v>1.5</v>
      </c>
      <c r="E119" s="24">
        <f t="shared" si="59"/>
        <v>0</v>
      </c>
      <c r="F119" s="24">
        <f t="shared" si="60"/>
        <v>1</v>
      </c>
      <c r="G119" s="24">
        <f t="shared" si="51"/>
        <v>-1</v>
      </c>
      <c r="H119" s="24">
        <f t="shared" si="52"/>
        <v>0</v>
      </c>
      <c r="I119">
        <v>90</v>
      </c>
      <c r="J119">
        <f t="shared" si="62"/>
        <v>90</v>
      </c>
      <c r="K119">
        <f t="shared" si="63"/>
        <v>180</v>
      </c>
      <c r="O119" t="str">
        <f t="shared" si="53"/>
        <v>[TestCase(0.5, 0.5, 0.5, 1.5, 0, 1)]</v>
      </c>
      <c r="P119" t="str">
        <f t="shared" si="54"/>
        <v>[TestCase(0.5, 0.5, 0.5, 1.5, -1, 0)]</v>
      </c>
    </row>
    <row r="120" spans="1:16" x14ac:dyDescent="0.3">
      <c r="A120">
        <f t="shared" si="61"/>
        <v>0.5</v>
      </c>
      <c r="B120">
        <f t="shared" si="61"/>
        <v>0.5</v>
      </c>
      <c r="C120">
        <f t="shared" si="61"/>
        <v>-0.5</v>
      </c>
      <c r="D120">
        <f t="shared" si="61"/>
        <v>1.5</v>
      </c>
      <c r="E120" s="24">
        <f t="shared" si="59"/>
        <v>-0.70710678118654746</v>
      </c>
      <c r="F120" s="24">
        <f t="shared" si="60"/>
        <v>0.70710678118654746</v>
      </c>
      <c r="G120" s="24">
        <f t="shared" si="51"/>
        <v>-0.70710678118654746</v>
      </c>
      <c r="H120" s="24">
        <f t="shared" si="52"/>
        <v>-0.70710678118654746</v>
      </c>
      <c r="I120">
        <v>135</v>
      </c>
      <c r="J120">
        <f t="shared" si="62"/>
        <v>135</v>
      </c>
      <c r="K120">
        <f t="shared" si="63"/>
        <v>225</v>
      </c>
      <c r="O120" t="str">
        <f t="shared" si="53"/>
        <v>[TestCase(0.5, 0.5, -0.5, 1.5, -0.707107, 0.707107)]</v>
      </c>
      <c r="P120" t="str">
        <f t="shared" si="54"/>
        <v>[TestCase(0.5, 0.5, -0.5, 1.5, -0.707107, -0.707107)]</v>
      </c>
    </row>
    <row r="121" spans="1:16" x14ac:dyDescent="0.3">
      <c r="A121">
        <f t="shared" si="61"/>
        <v>0.5</v>
      </c>
      <c r="B121">
        <f t="shared" si="61"/>
        <v>0.5</v>
      </c>
      <c r="C121">
        <f t="shared" si="61"/>
        <v>-0.5</v>
      </c>
      <c r="D121">
        <f t="shared" si="61"/>
        <v>0.5</v>
      </c>
      <c r="E121" s="24">
        <f t="shared" si="59"/>
        <v>-1</v>
      </c>
      <c r="F121" s="24">
        <f t="shared" si="60"/>
        <v>0</v>
      </c>
      <c r="G121" s="24">
        <f t="shared" si="51"/>
        <v>0</v>
      </c>
      <c r="H121" s="24">
        <f t="shared" si="52"/>
        <v>-1</v>
      </c>
      <c r="I121">
        <v>180</v>
      </c>
      <c r="J121">
        <f t="shared" si="62"/>
        <v>180</v>
      </c>
      <c r="K121">
        <f t="shared" si="63"/>
        <v>270</v>
      </c>
      <c r="O121" t="str">
        <f t="shared" si="53"/>
        <v>[TestCase(0.5, 0.5, -0.5, 0.5, -1, 0)]</v>
      </c>
      <c r="P121" t="str">
        <f t="shared" si="54"/>
        <v>[TestCase(0.5, 0.5, -0.5, 0.5, 0, -1)]</v>
      </c>
    </row>
    <row r="122" spans="1:16" x14ac:dyDescent="0.3">
      <c r="A122">
        <f t="shared" si="61"/>
        <v>0.5</v>
      </c>
      <c r="B122">
        <f t="shared" si="61"/>
        <v>0.5</v>
      </c>
      <c r="C122">
        <f t="shared" si="61"/>
        <v>-0.5</v>
      </c>
      <c r="D122">
        <f t="shared" si="61"/>
        <v>-0.5</v>
      </c>
      <c r="E122" s="24">
        <f t="shared" si="59"/>
        <v>-0.70710678118654746</v>
      </c>
      <c r="F122" s="24">
        <f t="shared" si="60"/>
        <v>-0.70710678118654746</v>
      </c>
      <c r="G122" s="24">
        <f t="shared" si="51"/>
        <v>0.70710678118654746</v>
      </c>
      <c r="H122" s="24">
        <f t="shared" si="52"/>
        <v>-0.70710678118654746</v>
      </c>
      <c r="I122">
        <v>225</v>
      </c>
      <c r="J122">
        <f t="shared" si="62"/>
        <v>225</v>
      </c>
      <c r="K122">
        <f t="shared" si="63"/>
        <v>315</v>
      </c>
      <c r="O122" t="str">
        <f t="shared" si="53"/>
        <v>[TestCase(0.5, 0.5, -0.5, -0.5, -0.707107, -0.707107)]</v>
      </c>
      <c r="P122" t="str">
        <f t="shared" si="54"/>
        <v>[TestCase(0.5, 0.5, -0.5, -0.5, 0.707107, -0.707107)]</v>
      </c>
    </row>
    <row r="123" spans="1:16" x14ac:dyDescent="0.3">
      <c r="A123">
        <f t="shared" si="61"/>
        <v>0.5</v>
      </c>
      <c r="B123">
        <f t="shared" si="61"/>
        <v>0.5</v>
      </c>
      <c r="C123">
        <f t="shared" si="61"/>
        <v>0.5</v>
      </c>
      <c r="D123">
        <f t="shared" si="61"/>
        <v>-0.5</v>
      </c>
      <c r="E123" s="24">
        <f t="shared" si="59"/>
        <v>0</v>
      </c>
      <c r="F123" s="24">
        <f t="shared" si="60"/>
        <v>-1</v>
      </c>
      <c r="G123" s="24">
        <f t="shared" si="51"/>
        <v>1</v>
      </c>
      <c r="H123" s="24">
        <f t="shared" si="52"/>
        <v>0</v>
      </c>
      <c r="I123">
        <v>270</v>
      </c>
      <c r="J123">
        <f t="shared" si="62"/>
        <v>270</v>
      </c>
      <c r="K123">
        <f t="shared" si="63"/>
        <v>0</v>
      </c>
      <c r="O123" t="str">
        <f t="shared" si="53"/>
        <v>[TestCase(0.5, 0.5, 0.5, -0.5, 0, -1)]</v>
      </c>
      <c r="P123" t="str">
        <f t="shared" si="54"/>
        <v>[TestCase(0.5, 0.5, 0.5, -0.5, 1, 0)]</v>
      </c>
    </row>
    <row r="124" spans="1:16" x14ac:dyDescent="0.3">
      <c r="A124">
        <f t="shared" si="61"/>
        <v>0.5</v>
      </c>
      <c r="B124">
        <f t="shared" si="61"/>
        <v>0.5</v>
      </c>
      <c r="C124">
        <f t="shared" si="61"/>
        <v>1.5</v>
      </c>
      <c r="D124">
        <f t="shared" si="61"/>
        <v>-0.5</v>
      </c>
      <c r="E124" s="24">
        <f t="shared" si="59"/>
        <v>0.70710678118654746</v>
      </c>
      <c r="F124" s="24">
        <f t="shared" si="60"/>
        <v>-0.70710678118654746</v>
      </c>
      <c r="G124" s="24">
        <f t="shared" si="51"/>
        <v>0.70710678118654746</v>
      </c>
      <c r="H124" s="24">
        <f t="shared" si="52"/>
        <v>0.70710678118654746</v>
      </c>
      <c r="I124">
        <v>315</v>
      </c>
      <c r="J124">
        <f t="shared" si="62"/>
        <v>315</v>
      </c>
      <c r="K124">
        <f t="shared" si="63"/>
        <v>45</v>
      </c>
      <c r="O124" t="str">
        <f t="shared" si="53"/>
        <v>[TestCase(0.5, 0.5, 1.5, -0.5, 0.707107, -0.707107)]</v>
      </c>
      <c r="P124" t="str">
        <f t="shared" si="54"/>
        <v>[TestCase(0.5, 0.5, 1.5, -0.5, 0.707107, 0.707107)]</v>
      </c>
    </row>
    <row r="125" spans="1:16" x14ac:dyDescent="0.3">
      <c r="A125">
        <f t="shared" si="61"/>
        <v>2.5</v>
      </c>
      <c r="B125">
        <f t="shared" si="61"/>
        <v>3.5</v>
      </c>
      <c r="C125">
        <f t="shared" si="61"/>
        <v>0.5</v>
      </c>
      <c r="D125">
        <f t="shared" si="61"/>
        <v>0.5</v>
      </c>
      <c r="E125" s="24">
        <f t="shared" si="59"/>
        <v>-0.55470019622522915</v>
      </c>
      <c r="F125" s="24">
        <f t="shared" si="60"/>
        <v>-0.83205029433784372</v>
      </c>
      <c r="G125" s="24">
        <f t="shared" si="51"/>
        <v>0.83205029433784372</v>
      </c>
      <c r="H125" s="24">
        <f t="shared" si="52"/>
        <v>-0.55470019622522915</v>
      </c>
      <c r="O125" t="str">
        <f t="shared" si="53"/>
        <v>[TestCase(2.5, 3.5, 0.5, 0.5, -0.5547, -0.83205)]</v>
      </c>
      <c r="P125" t="str">
        <f t="shared" si="54"/>
        <v>[TestCase(2.5, 3.5, 0.5, 0.5, 0.83205, -0.5547)]</v>
      </c>
    </row>
    <row r="127" spans="1:16" s="2" customFormat="1" x14ac:dyDescent="0.3">
      <c r="A127" s="2" t="s">
        <v>93</v>
      </c>
    </row>
    <row r="128" spans="1:16" x14ac:dyDescent="0.3">
      <c r="A128" s="6" t="s">
        <v>125</v>
      </c>
      <c r="B128" s="6" t="s">
        <v>126</v>
      </c>
      <c r="C128" s="6" t="s">
        <v>127</v>
      </c>
      <c r="D128" s="6" t="s">
        <v>128</v>
      </c>
      <c r="E128" s="6" t="s">
        <v>93</v>
      </c>
    </row>
    <row r="129" spans="1:9" x14ac:dyDescent="0.3">
      <c r="A129">
        <v>0</v>
      </c>
      <c r="B129">
        <v>0</v>
      </c>
      <c r="C129">
        <v>0</v>
      </c>
      <c r="D129">
        <v>0</v>
      </c>
      <c r="E129">
        <f t="shared" ref="E129:E136" si="64">SQRT((C129-A129)^2+(D129-B129)^2)</f>
        <v>0</v>
      </c>
      <c r="G129" t="str">
        <f>"[TestCase("&amp;A129&amp;", "&amp;B129&amp;", "&amp;C129&amp;", "&amp;D129&amp;", "&amp;ROUND(E129,6)&amp;")]"</f>
        <v>[TestCase(0, 0, 0, 0, 0)]</v>
      </c>
    </row>
    <row r="130" spans="1:9" x14ac:dyDescent="0.3">
      <c r="A130">
        <v>0</v>
      </c>
      <c r="B130">
        <v>0</v>
      </c>
      <c r="C130">
        <v>1</v>
      </c>
      <c r="D130">
        <v>0</v>
      </c>
      <c r="E130">
        <f t="shared" si="64"/>
        <v>1</v>
      </c>
      <c r="G130" t="str">
        <f t="shared" ref="G130:G136" si="65">"[TestCase("&amp;A130&amp;", "&amp;B130&amp;", "&amp;C130&amp;", "&amp;D130&amp;", "&amp;ROUND(E130,6)&amp;")]"</f>
        <v>[TestCase(0, 0, 1, 0, 1)]</v>
      </c>
    </row>
    <row r="131" spans="1:9" x14ac:dyDescent="0.3">
      <c r="A131">
        <v>0</v>
      </c>
      <c r="B131">
        <v>0</v>
      </c>
      <c r="C131">
        <v>0</v>
      </c>
      <c r="D131">
        <v>1</v>
      </c>
      <c r="E131">
        <f t="shared" si="64"/>
        <v>1</v>
      </c>
      <c r="G131" t="str">
        <f t="shared" si="65"/>
        <v>[TestCase(0, 0, 0, 1, 1)]</v>
      </c>
    </row>
    <row r="132" spans="1:9" x14ac:dyDescent="0.3">
      <c r="A132">
        <v>0</v>
      </c>
      <c r="B132">
        <v>0</v>
      </c>
      <c r="C132">
        <v>1</v>
      </c>
      <c r="D132">
        <v>1</v>
      </c>
      <c r="E132">
        <f t="shared" si="64"/>
        <v>1.4142135623730951</v>
      </c>
      <c r="G132" t="str">
        <f t="shared" si="65"/>
        <v>[TestCase(0, 0, 1, 1, 1.414214)]</v>
      </c>
    </row>
    <row r="133" spans="1:9" x14ac:dyDescent="0.3">
      <c r="A133">
        <v>1</v>
      </c>
      <c r="B133">
        <v>1</v>
      </c>
      <c r="C133">
        <v>2</v>
      </c>
      <c r="D133">
        <v>2</v>
      </c>
      <c r="E133">
        <f t="shared" si="64"/>
        <v>1.4142135623730951</v>
      </c>
      <c r="G133" t="str">
        <f t="shared" si="65"/>
        <v>[TestCase(1, 1, 2, 2, 1.414214)]</v>
      </c>
    </row>
    <row r="134" spans="1:9" x14ac:dyDescent="0.3">
      <c r="A134">
        <v>-1</v>
      </c>
      <c r="B134">
        <v>1</v>
      </c>
      <c r="C134">
        <v>-2</v>
      </c>
      <c r="D134">
        <v>2</v>
      </c>
      <c r="E134">
        <f t="shared" si="64"/>
        <v>1.4142135623730951</v>
      </c>
      <c r="G134" t="str">
        <f t="shared" si="65"/>
        <v>[TestCase(-1, 1, -2, 2, 1.414214)]</v>
      </c>
    </row>
    <row r="135" spans="1:9" x14ac:dyDescent="0.3">
      <c r="A135">
        <v>-1</v>
      </c>
      <c r="B135">
        <v>-1</v>
      </c>
      <c r="C135">
        <v>-2</v>
      </c>
      <c r="D135">
        <v>-2</v>
      </c>
      <c r="E135">
        <f t="shared" si="64"/>
        <v>1.4142135623730951</v>
      </c>
      <c r="G135" t="str">
        <f t="shared" si="65"/>
        <v>[TestCase(-1, -1, -2, -2, 1.414214)]</v>
      </c>
    </row>
    <row r="136" spans="1:9" x14ac:dyDescent="0.3">
      <c r="A136">
        <v>1</v>
      </c>
      <c r="B136">
        <v>-1</v>
      </c>
      <c r="C136">
        <v>2</v>
      </c>
      <c r="D136">
        <v>-2</v>
      </c>
      <c r="E136">
        <f t="shared" si="64"/>
        <v>1.4142135623730951</v>
      </c>
      <c r="G136" t="str">
        <f t="shared" si="65"/>
        <v>[TestCase(1, -1, 2, -2, 1.414214)]</v>
      </c>
    </row>
    <row r="138" spans="1:9" s="2" customFormat="1" x14ac:dyDescent="0.3">
      <c r="A138" s="2" t="s">
        <v>306</v>
      </c>
    </row>
    <row r="139" spans="1:9" x14ac:dyDescent="0.3">
      <c r="A139" s="6" t="s">
        <v>125</v>
      </c>
      <c r="B139" s="6" t="s">
        <v>126</v>
      </c>
      <c r="C139" s="6" t="s">
        <v>307</v>
      </c>
      <c r="D139" s="6" t="s">
        <v>127</v>
      </c>
      <c r="E139" s="6" t="s">
        <v>128</v>
      </c>
      <c r="F139" s="6" t="s">
        <v>308</v>
      </c>
      <c r="G139" s="6" t="s">
        <v>93</v>
      </c>
    </row>
    <row r="140" spans="1:9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f>SQRT((D140-A140)^2+(E140-B140)^2+(F140-C140)^2)</f>
        <v>0</v>
      </c>
      <c r="I140" t="str">
        <f>"[TestCase("&amp;A140&amp;", "&amp;B140&amp;", "&amp;C140&amp;", "&amp;D140&amp;", "&amp;E140&amp;", "&amp;F140&amp;", "&amp;ROUND(G140,6)&amp;")]"</f>
        <v>[TestCase(0, 0, 0, 0, 0, 0, 0)]</v>
      </c>
    </row>
    <row r="141" spans="1:9" x14ac:dyDescent="0.3">
      <c r="A141">
        <v>0</v>
      </c>
      <c r="B141">
        <v>0</v>
      </c>
      <c r="C141">
        <v>0</v>
      </c>
      <c r="D141">
        <v>1</v>
      </c>
      <c r="E141">
        <v>0</v>
      </c>
      <c r="F141">
        <v>0</v>
      </c>
      <c r="G141">
        <f t="shared" ref="G141:G147" si="66">SQRT((D141-A141)^2+(E141-B141)^2+(F141-C141)^2)</f>
        <v>1</v>
      </c>
      <c r="I141" t="str">
        <f t="shared" ref="I141:I150" si="67">"[TestCase("&amp;A141&amp;", "&amp;B141&amp;", "&amp;C141&amp;", "&amp;D141&amp;", "&amp;E141&amp;", "&amp;F141&amp;", "&amp;ROUND(G141,6)&amp;")]"</f>
        <v>[TestCase(0, 0, 0, 1, 0, 0, 1)]</v>
      </c>
    </row>
    <row r="142" spans="1:9" x14ac:dyDescent="0.3">
      <c r="A142">
        <v>0</v>
      </c>
      <c r="B142">
        <v>0</v>
      </c>
      <c r="C142">
        <v>0</v>
      </c>
      <c r="D142">
        <v>0</v>
      </c>
      <c r="E142">
        <v>1</v>
      </c>
      <c r="F142">
        <v>0</v>
      </c>
      <c r="G142">
        <f t="shared" si="66"/>
        <v>1</v>
      </c>
      <c r="I142" t="str">
        <f t="shared" si="67"/>
        <v>[TestCase(0, 0, 0, 0, 1, 0, 1)]</v>
      </c>
    </row>
    <row r="143" spans="1:9" x14ac:dyDescent="0.3">
      <c r="A143">
        <v>0</v>
      </c>
      <c r="B143">
        <v>0</v>
      </c>
      <c r="C143">
        <v>0</v>
      </c>
      <c r="D143">
        <v>1</v>
      </c>
      <c r="E143">
        <v>1</v>
      </c>
      <c r="F143">
        <v>0</v>
      </c>
      <c r="G143">
        <f t="shared" si="66"/>
        <v>1.4142135623730951</v>
      </c>
      <c r="I143" t="str">
        <f t="shared" si="67"/>
        <v>[TestCase(0, 0, 0, 1, 1, 0, 1.414214)]</v>
      </c>
    </row>
    <row r="144" spans="1:9" x14ac:dyDescent="0.3">
      <c r="A144">
        <v>1</v>
      </c>
      <c r="B144">
        <v>1</v>
      </c>
      <c r="C144">
        <v>0</v>
      </c>
      <c r="D144">
        <v>2</v>
      </c>
      <c r="E144">
        <v>2</v>
      </c>
      <c r="F144">
        <v>0</v>
      </c>
      <c r="G144">
        <f t="shared" si="66"/>
        <v>1.4142135623730951</v>
      </c>
      <c r="I144" t="str">
        <f t="shared" si="67"/>
        <v>[TestCase(1, 1, 0, 2, 2, 0, 1.414214)]</v>
      </c>
    </row>
    <row r="145" spans="1:9" x14ac:dyDescent="0.3">
      <c r="A145">
        <v>-1</v>
      </c>
      <c r="B145">
        <v>1</v>
      </c>
      <c r="C145">
        <v>0</v>
      </c>
      <c r="D145">
        <v>-2</v>
      </c>
      <c r="E145">
        <v>2</v>
      </c>
      <c r="F145">
        <v>0</v>
      </c>
      <c r="G145">
        <f t="shared" si="66"/>
        <v>1.4142135623730951</v>
      </c>
      <c r="I145" t="str">
        <f t="shared" si="67"/>
        <v>[TestCase(-1, 1, 0, -2, 2, 0, 1.414214)]</v>
      </c>
    </row>
    <row r="146" spans="1:9" x14ac:dyDescent="0.3">
      <c r="A146">
        <v>-1</v>
      </c>
      <c r="B146">
        <v>-1</v>
      </c>
      <c r="C146">
        <v>0</v>
      </c>
      <c r="D146">
        <v>-2</v>
      </c>
      <c r="E146">
        <v>-2</v>
      </c>
      <c r="F146">
        <v>0</v>
      </c>
      <c r="G146">
        <f t="shared" si="66"/>
        <v>1.4142135623730951</v>
      </c>
      <c r="I146" t="str">
        <f t="shared" si="67"/>
        <v>[TestCase(-1, -1, 0, -2, -2, 0, 1.414214)]</v>
      </c>
    </row>
    <row r="147" spans="1:9" x14ac:dyDescent="0.3">
      <c r="A147">
        <v>1</v>
      </c>
      <c r="B147">
        <v>-1</v>
      </c>
      <c r="C147">
        <v>0</v>
      </c>
      <c r="D147">
        <v>2</v>
      </c>
      <c r="E147">
        <v>-2</v>
      </c>
      <c r="F147">
        <v>0</v>
      </c>
      <c r="G147">
        <f t="shared" si="66"/>
        <v>1.4142135623730951</v>
      </c>
      <c r="I147" t="str">
        <f t="shared" si="67"/>
        <v>[TestCase(1, -1, 0, 2, -2, 0, 1.414214)]</v>
      </c>
    </row>
    <row r="148" spans="1:9" x14ac:dyDescent="0.3">
      <c r="A148">
        <v>1</v>
      </c>
      <c r="B148">
        <v>0</v>
      </c>
      <c r="C148">
        <v>1</v>
      </c>
      <c r="D148">
        <v>2</v>
      </c>
      <c r="E148">
        <v>0</v>
      </c>
      <c r="F148">
        <v>2</v>
      </c>
      <c r="G148">
        <f t="shared" ref="G148" si="68">SQRT((D148-A148)^2+(E148-B148)^2+(F148-C148)^2)</f>
        <v>1.4142135623730951</v>
      </c>
      <c r="I148" t="str">
        <f t="shared" si="67"/>
        <v>[TestCase(1, 0, 1, 2, 0, 2, 1.414214)]</v>
      </c>
    </row>
    <row r="149" spans="1:9" x14ac:dyDescent="0.3">
      <c r="A149">
        <v>0</v>
      </c>
      <c r="B149">
        <v>1</v>
      </c>
      <c r="C149">
        <v>1</v>
      </c>
      <c r="D149">
        <v>0</v>
      </c>
      <c r="E149">
        <v>2</v>
      </c>
      <c r="F149">
        <v>2</v>
      </c>
      <c r="G149">
        <f t="shared" ref="G149" si="69">SQRT((D149-A149)^2+(E149-B149)^2+(F149-C149)^2)</f>
        <v>1.4142135623730951</v>
      </c>
      <c r="I149" t="str">
        <f t="shared" si="67"/>
        <v>[TestCase(0, 1, 1, 0, 2, 2, 1.414214)]</v>
      </c>
    </row>
    <row r="150" spans="1:9" x14ac:dyDescent="0.3">
      <c r="A150">
        <v>1</v>
      </c>
      <c r="B150">
        <v>1</v>
      </c>
      <c r="C150">
        <v>1</v>
      </c>
      <c r="D150">
        <v>2</v>
      </c>
      <c r="E150">
        <v>2</v>
      </c>
      <c r="F150">
        <v>2</v>
      </c>
      <c r="G150">
        <f>SQRT((D150-A150)^2+(E150-B150)^2+(F150-C150)^2)</f>
        <v>1.7320508075688772</v>
      </c>
      <c r="I150" t="str">
        <f t="shared" si="67"/>
        <v>[TestCase(1, 1, 1, 2, 2, 2, 1.732051)]</v>
      </c>
    </row>
  </sheetData>
  <mergeCells count="2">
    <mergeCell ref="E104:F104"/>
    <mergeCell ref="G104:H10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94319-A7BE-40F1-B4B5-401399411CE5}">
  <sheetPr codeName="Sheet11"/>
  <dimension ref="A1:O76"/>
  <sheetViews>
    <sheetView topLeftCell="A43" workbookViewId="0">
      <selection activeCell="L50" sqref="L50:L55"/>
    </sheetView>
  </sheetViews>
  <sheetFormatPr defaultRowHeight="14.4" x14ac:dyDescent="0.3"/>
  <cols>
    <col min="1" max="1" width="12.33203125" customWidth="1"/>
    <col min="2" max="2" width="12.109375" bestFit="1" customWidth="1"/>
    <col min="3" max="3" width="12.21875" bestFit="1" customWidth="1"/>
    <col min="4" max="4" width="20.21875" bestFit="1" customWidth="1"/>
    <col min="5" max="5" width="19.88671875" customWidth="1"/>
  </cols>
  <sheetData>
    <row r="1" spans="1:5" s="2" customFormat="1" x14ac:dyDescent="0.3">
      <c r="A1" s="2" t="s">
        <v>90</v>
      </c>
    </row>
    <row r="2" spans="1:5" x14ac:dyDescent="0.3">
      <c r="A2" s="6" t="s">
        <v>91</v>
      </c>
      <c r="B2" s="6" t="s">
        <v>92</v>
      </c>
      <c r="C2" s="6" t="s">
        <v>19</v>
      </c>
      <c r="D2" s="6"/>
    </row>
    <row r="3" spans="1:5" x14ac:dyDescent="0.3">
      <c r="A3">
        <v>0</v>
      </c>
      <c r="B3">
        <v>0</v>
      </c>
      <c r="C3">
        <f>A3^2+B3^2</f>
        <v>0</v>
      </c>
      <c r="E3" t="str">
        <f>"[TestCase("&amp;A3&amp;", "&amp;B3&amp;", "&amp;C3&amp;")]"</f>
        <v>[TestCase(0, 0, 0)]</v>
      </c>
    </row>
    <row r="4" spans="1:5" x14ac:dyDescent="0.3">
      <c r="A4">
        <v>1</v>
      </c>
      <c r="B4">
        <v>1</v>
      </c>
      <c r="C4">
        <f t="shared" ref="C4:C8" si="0">A4^2+B4^2</f>
        <v>2</v>
      </c>
      <c r="E4" t="str">
        <f t="shared" ref="E4:E8" si="1">"[TestCase("&amp;A4&amp;", "&amp;B4&amp;", "&amp;C4&amp;")]"</f>
        <v>[TestCase(1, 1, 2)]</v>
      </c>
    </row>
    <row r="5" spans="1:5" x14ac:dyDescent="0.3">
      <c r="A5">
        <v>2</v>
      </c>
      <c r="B5">
        <v>3</v>
      </c>
      <c r="C5">
        <f t="shared" si="0"/>
        <v>13</v>
      </c>
      <c r="E5" t="str">
        <f t="shared" si="1"/>
        <v>[TestCase(2, 3, 13)]</v>
      </c>
    </row>
    <row r="6" spans="1:5" x14ac:dyDescent="0.3">
      <c r="A6">
        <v>-2</v>
      </c>
      <c r="B6">
        <v>3</v>
      </c>
      <c r="C6">
        <f t="shared" si="0"/>
        <v>13</v>
      </c>
      <c r="E6" t="str">
        <f t="shared" si="1"/>
        <v>[TestCase(-2, 3, 13)]</v>
      </c>
    </row>
    <row r="7" spans="1:5" x14ac:dyDescent="0.3">
      <c r="A7">
        <v>2</v>
      </c>
      <c r="B7">
        <v>-3</v>
      </c>
      <c r="C7">
        <f t="shared" si="0"/>
        <v>13</v>
      </c>
      <c r="E7" t="str">
        <f t="shared" si="1"/>
        <v>[TestCase(2, -3, 13)]</v>
      </c>
    </row>
    <row r="8" spans="1:5" x14ac:dyDescent="0.3">
      <c r="A8">
        <v>1.4</v>
      </c>
      <c r="B8">
        <v>-3.5</v>
      </c>
      <c r="C8">
        <f t="shared" si="0"/>
        <v>14.209999999999999</v>
      </c>
      <c r="E8" t="str">
        <f t="shared" si="1"/>
        <v>[TestCase(1.4, -3.5, 14.21)]</v>
      </c>
    </row>
    <row r="10" spans="1:5" s="2" customFormat="1" x14ac:dyDescent="0.3">
      <c r="A10" s="2" t="s">
        <v>93</v>
      </c>
    </row>
    <row r="11" spans="1:5" x14ac:dyDescent="0.3">
      <c r="A11" s="6" t="s">
        <v>91</v>
      </c>
      <c r="B11" s="6" t="s">
        <v>92</v>
      </c>
      <c r="C11" s="6" t="s">
        <v>19</v>
      </c>
    </row>
    <row r="12" spans="1:5" x14ac:dyDescent="0.3">
      <c r="A12">
        <f>A3</f>
        <v>0</v>
      </c>
      <c r="B12">
        <f>B3</f>
        <v>0</v>
      </c>
      <c r="C12">
        <f>SQRT(C3)</f>
        <v>0</v>
      </c>
      <c r="E12" t="str">
        <f>"[TestCase("&amp;A12&amp;", "&amp;B12&amp;", "&amp;ROUND(C12,6)&amp;")]"</f>
        <v>[TestCase(0, 0, 0)]</v>
      </c>
    </row>
    <row r="13" spans="1:5" x14ac:dyDescent="0.3">
      <c r="A13">
        <f t="shared" ref="A13:B13" si="2">A4</f>
        <v>1</v>
      </c>
      <c r="B13">
        <f t="shared" si="2"/>
        <v>1</v>
      </c>
      <c r="C13">
        <f t="shared" ref="C13:C16" si="3">SQRT(C4)</f>
        <v>1.4142135623730951</v>
      </c>
      <c r="E13" t="str">
        <f t="shared" ref="E13:E17" si="4">"[TestCase("&amp;A13&amp;", "&amp;B13&amp;", "&amp;ROUND(C13,6)&amp;")]"</f>
        <v>[TestCase(1, 1, 1.414214)]</v>
      </c>
    </row>
    <row r="14" spans="1:5" x14ac:dyDescent="0.3">
      <c r="A14">
        <f t="shared" ref="A14:B14" si="5">A5</f>
        <v>2</v>
      </c>
      <c r="B14">
        <f t="shared" si="5"/>
        <v>3</v>
      </c>
      <c r="C14">
        <f t="shared" si="3"/>
        <v>3.6055512754639891</v>
      </c>
      <c r="E14" t="str">
        <f t="shared" si="4"/>
        <v>[TestCase(2, 3, 3.605551)]</v>
      </c>
    </row>
    <row r="15" spans="1:5" x14ac:dyDescent="0.3">
      <c r="A15">
        <f t="shared" ref="A15:B15" si="6">A6</f>
        <v>-2</v>
      </c>
      <c r="B15">
        <f t="shared" si="6"/>
        <v>3</v>
      </c>
      <c r="C15">
        <f t="shared" si="3"/>
        <v>3.6055512754639891</v>
      </c>
      <c r="E15" t="str">
        <f t="shared" si="4"/>
        <v>[TestCase(-2, 3, 3.605551)]</v>
      </c>
    </row>
    <row r="16" spans="1:5" x14ac:dyDescent="0.3">
      <c r="A16">
        <f t="shared" ref="A16:B16" si="7">A7</f>
        <v>2</v>
      </c>
      <c r="B16">
        <f t="shared" si="7"/>
        <v>-3</v>
      </c>
      <c r="C16">
        <f t="shared" si="3"/>
        <v>3.6055512754639891</v>
      </c>
      <c r="E16" t="str">
        <f t="shared" si="4"/>
        <v>[TestCase(2, -3, 3.605551)]</v>
      </c>
    </row>
    <row r="17" spans="1:7" x14ac:dyDescent="0.3">
      <c r="A17">
        <f>A8</f>
        <v>1.4</v>
      </c>
      <c r="B17">
        <f>B8</f>
        <v>-3.5</v>
      </c>
      <c r="C17">
        <f>SQRT(C8)</f>
        <v>3.7696153649941526</v>
      </c>
      <c r="E17" t="str">
        <f t="shared" si="4"/>
        <v>[TestCase(1.4, -3.5, 3.769615)]</v>
      </c>
    </row>
    <row r="19" spans="1:7" s="2" customFormat="1" x14ac:dyDescent="0.3">
      <c r="A19" s="2" t="s">
        <v>94</v>
      </c>
    </row>
    <row r="20" spans="1:7" x14ac:dyDescent="0.3">
      <c r="A20" s="6" t="s">
        <v>95</v>
      </c>
      <c r="B20" s="6" t="s">
        <v>97</v>
      </c>
      <c r="C20" s="6" t="s">
        <v>96</v>
      </c>
      <c r="D20" s="6" t="s">
        <v>98</v>
      </c>
      <c r="E20" s="6" t="s">
        <v>19</v>
      </c>
    </row>
    <row r="21" spans="1:7" x14ac:dyDescent="0.3">
      <c r="A21">
        <v>0</v>
      </c>
      <c r="B21">
        <v>0</v>
      </c>
      <c r="C21">
        <v>0</v>
      </c>
      <c r="D21">
        <v>0</v>
      </c>
      <c r="E21">
        <f>0.5*(A21*D21-B21*C21)</f>
        <v>0</v>
      </c>
      <c r="G21" t="str">
        <f>"[TestCase("&amp;A21&amp;", "&amp;B21&amp;", "&amp;C21&amp;", "&amp;D21&amp;", "&amp;E21&amp;")]"</f>
        <v>[TestCase(0, 0, 0, 0, 0)]</v>
      </c>
    </row>
    <row r="22" spans="1:7" x14ac:dyDescent="0.3">
      <c r="A22">
        <v>1</v>
      </c>
      <c r="B22">
        <v>0</v>
      </c>
      <c r="C22">
        <v>0</v>
      </c>
      <c r="D22">
        <v>1</v>
      </c>
      <c r="E22">
        <f>0.5*(A22*D22-B22*C22)</f>
        <v>0.5</v>
      </c>
      <c r="G22" t="str">
        <f t="shared" ref="G22:G33" si="8">"[TestCase("&amp;A22&amp;", "&amp;B22&amp;", "&amp;C22&amp;", "&amp;D22&amp;", "&amp;E22&amp;")]"</f>
        <v>[TestCase(1, 0, 0, 1, 0.5)]</v>
      </c>
    </row>
    <row r="23" spans="1:7" x14ac:dyDescent="0.3">
      <c r="A23">
        <v>-1</v>
      </c>
      <c r="B23">
        <v>0</v>
      </c>
      <c r="C23">
        <v>0</v>
      </c>
      <c r="D23">
        <v>-1</v>
      </c>
      <c r="E23">
        <f>0.5*(A23*D23-B23*C23)</f>
        <v>0.5</v>
      </c>
      <c r="G23" t="str">
        <f t="shared" si="8"/>
        <v>[TestCase(-1, 0, 0, -1, 0.5)]</v>
      </c>
    </row>
    <row r="24" spans="1:7" x14ac:dyDescent="0.3">
      <c r="A24">
        <v>-1</v>
      </c>
      <c r="B24">
        <v>0</v>
      </c>
      <c r="C24">
        <v>0</v>
      </c>
      <c r="D24">
        <v>1</v>
      </c>
      <c r="E24">
        <f>0.5*(A24*D24-B24*C24)</f>
        <v>-0.5</v>
      </c>
      <c r="G24" t="str">
        <f t="shared" si="8"/>
        <v>[TestCase(-1, 0, 0, 1, -0.5)]</v>
      </c>
    </row>
    <row r="25" spans="1:7" x14ac:dyDescent="0.3">
      <c r="A25">
        <v>1</v>
      </c>
      <c r="B25">
        <v>0</v>
      </c>
      <c r="C25">
        <v>0</v>
      </c>
      <c r="D25">
        <v>-1</v>
      </c>
      <c r="E25">
        <f>0.5*(A25*D25-B25*C25)</f>
        <v>-0.5</v>
      </c>
      <c r="G25" t="str">
        <f t="shared" si="8"/>
        <v>[TestCase(1, 0, 0, -1, -0.5)]</v>
      </c>
    </row>
    <row r="26" spans="1:7" x14ac:dyDescent="0.3">
      <c r="A26">
        <v>0</v>
      </c>
      <c r="B26">
        <v>1</v>
      </c>
      <c r="C26">
        <v>1</v>
      </c>
      <c r="D26">
        <v>0</v>
      </c>
      <c r="E26">
        <f t="shared" ref="E26:E33" si="9">0.5*(A26*D26-B26*C26)</f>
        <v>-0.5</v>
      </c>
      <c r="G26" t="str">
        <f t="shared" si="8"/>
        <v>[TestCase(0, 1, 1, 0, -0.5)]</v>
      </c>
    </row>
    <row r="27" spans="1:7" x14ac:dyDescent="0.3">
      <c r="A27">
        <v>0</v>
      </c>
      <c r="B27">
        <v>-1</v>
      </c>
      <c r="C27">
        <v>-1</v>
      </c>
      <c r="D27">
        <v>0</v>
      </c>
      <c r="E27">
        <f t="shared" si="9"/>
        <v>-0.5</v>
      </c>
      <c r="G27" t="str">
        <f t="shared" si="8"/>
        <v>[TestCase(0, -1, -1, 0, -0.5)]</v>
      </c>
    </row>
    <row r="28" spans="1:7" x14ac:dyDescent="0.3">
      <c r="A28">
        <v>0</v>
      </c>
      <c r="B28">
        <v>-1</v>
      </c>
      <c r="C28">
        <v>1</v>
      </c>
      <c r="D28">
        <v>0</v>
      </c>
      <c r="E28">
        <f t="shared" si="9"/>
        <v>0.5</v>
      </c>
      <c r="G28" t="str">
        <f t="shared" si="8"/>
        <v>[TestCase(0, -1, 1, 0, 0.5)]</v>
      </c>
    </row>
    <row r="29" spans="1:7" x14ac:dyDescent="0.3">
      <c r="A29">
        <v>0</v>
      </c>
      <c r="B29">
        <v>1</v>
      </c>
      <c r="C29">
        <v>-1</v>
      </c>
      <c r="D29">
        <v>0</v>
      </c>
      <c r="E29">
        <f t="shared" si="9"/>
        <v>0.5</v>
      </c>
      <c r="G29" t="str">
        <f t="shared" si="8"/>
        <v>[TestCase(0, 1, -1, 0, 0.5)]</v>
      </c>
    </row>
    <row r="30" spans="1:7" x14ac:dyDescent="0.3">
      <c r="A30">
        <v>1</v>
      </c>
      <c r="B30">
        <v>2</v>
      </c>
      <c r="C30">
        <v>3</v>
      </c>
      <c r="D30">
        <v>4</v>
      </c>
      <c r="E30">
        <f t="shared" si="9"/>
        <v>-1</v>
      </c>
      <c r="G30" t="str">
        <f t="shared" si="8"/>
        <v>[TestCase(1, 2, 3, 4, -1)]</v>
      </c>
    </row>
    <row r="31" spans="1:7" x14ac:dyDescent="0.3">
      <c r="A31">
        <v>1</v>
      </c>
      <c r="B31">
        <v>2</v>
      </c>
      <c r="C31">
        <v>-3</v>
      </c>
      <c r="D31">
        <v>4</v>
      </c>
      <c r="E31">
        <f t="shared" si="9"/>
        <v>5</v>
      </c>
      <c r="G31" t="str">
        <f t="shared" si="8"/>
        <v>[TestCase(1, 2, -3, 4, 5)]</v>
      </c>
    </row>
    <row r="32" spans="1:7" x14ac:dyDescent="0.3">
      <c r="A32">
        <v>1</v>
      </c>
      <c r="B32">
        <v>2</v>
      </c>
      <c r="C32">
        <v>-3</v>
      </c>
      <c r="D32">
        <v>-4</v>
      </c>
      <c r="E32">
        <f t="shared" si="9"/>
        <v>1</v>
      </c>
      <c r="G32" t="str">
        <f t="shared" si="8"/>
        <v>[TestCase(1, 2, -3, -4, 1)]</v>
      </c>
    </row>
    <row r="33" spans="1:10" x14ac:dyDescent="0.3">
      <c r="A33">
        <v>1</v>
      </c>
      <c r="B33">
        <v>2</v>
      </c>
      <c r="C33">
        <v>3</v>
      </c>
      <c r="D33">
        <v>-4</v>
      </c>
      <c r="E33">
        <f t="shared" si="9"/>
        <v>-5</v>
      </c>
      <c r="G33" t="str">
        <f t="shared" si="8"/>
        <v>[TestCase(1, 2, 3, -4, -5)]</v>
      </c>
    </row>
    <row r="35" spans="1:10" s="2" customFormat="1" x14ac:dyDescent="0.3">
      <c r="A35" s="2" t="s">
        <v>135</v>
      </c>
    </row>
    <row r="36" spans="1:10" x14ac:dyDescent="0.3">
      <c r="A36" s="6" t="s">
        <v>95</v>
      </c>
      <c r="B36" s="6" t="s">
        <v>97</v>
      </c>
      <c r="C36" s="6" t="s">
        <v>93</v>
      </c>
      <c r="D36" s="6" t="s">
        <v>136</v>
      </c>
      <c r="E36" s="6" t="s">
        <v>137</v>
      </c>
    </row>
    <row r="37" spans="1:10" x14ac:dyDescent="0.3">
      <c r="A37">
        <v>0</v>
      </c>
      <c r="B37">
        <v>0</v>
      </c>
      <c r="C37">
        <f>SQRT(A37^2+B37^2)</f>
        <v>0</v>
      </c>
      <c r="D37" t="e">
        <f>A37/C37</f>
        <v>#DIV/0!</v>
      </c>
      <c r="E37" t="e">
        <f>B37/C37</f>
        <v>#DIV/0!</v>
      </c>
    </row>
    <row r="38" spans="1:10" x14ac:dyDescent="0.3">
      <c r="A38">
        <v>1</v>
      </c>
      <c r="B38">
        <v>0</v>
      </c>
      <c r="C38">
        <f t="shared" ref="C38:C45" si="10">SQRT(A38^2+B38^2)</f>
        <v>1</v>
      </c>
      <c r="D38">
        <f t="shared" ref="D38:D45" si="11">A38/C38</f>
        <v>1</v>
      </c>
      <c r="E38">
        <f t="shared" ref="E38:E45" si="12">B38/C38</f>
        <v>0</v>
      </c>
      <c r="G38" t="str">
        <f>"[TestCase("&amp;A38&amp;", "&amp;B38&amp;", "&amp;ROUND(D38,6)&amp;", "&amp;ROUND(E38,6)&amp;")]"</f>
        <v>[TestCase(1, 0, 1, 0)]</v>
      </c>
    </row>
    <row r="39" spans="1:10" x14ac:dyDescent="0.3">
      <c r="A39">
        <v>1</v>
      </c>
      <c r="B39">
        <v>1</v>
      </c>
      <c r="C39">
        <f t="shared" si="10"/>
        <v>1.4142135623730951</v>
      </c>
      <c r="D39">
        <f t="shared" si="11"/>
        <v>0.70710678118654746</v>
      </c>
      <c r="E39">
        <f t="shared" si="12"/>
        <v>0.70710678118654746</v>
      </c>
      <c r="G39" t="str">
        <f t="shared" ref="G39:G45" si="13">"[TestCase("&amp;A39&amp;", "&amp;B39&amp;", "&amp;ROUND(D39,6)&amp;", "&amp;ROUND(E39,6)&amp;")]"</f>
        <v>[TestCase(1, 1, 0.707107, 0.707107)]</v>
      </c>
    </row>
    <row r="40" spans="1:10" x14ac:dyDescent="0.3">
      <c r="A40">
        <v>0</v>
      </c>
      <c r="B40">
        <v>1</v>
      </c>
      <c r="C40">
        <f t="shared" si="10"/>
        <v>1</v>
      </c>
      <c r="D40">
        <f t="shared" si="11"/>
        <v>0</v>
      </c>
      <c r="E40">
        <f t="shared" si="12"/>
        <v>1</v>
      </c>
      <c r="G40" t="str">
        <f t="shared" si="13"/>
        <v>[TestCase(0, 1, 0, 1)]</v>
      </c>
    </row>
    <row r="41" spans="1:10" x14ac:dyDescent="0.3">
      <c r="A41">
        <v>-1</v>
      </c>
      <c r="B41">
        <v>1</v>
      </c>
      <c r="C41">
        <f t="shared" si="10"/>
        <v>1.4142135623730951</v>
      </c>
      <c r="D41">
        <f t="shared" si="11"/>
        <v>-0.70710678118654746</v>
      </c>
      <c r="E41">
        <f t="shared" si="12"/>
        <v>0.70710678118654746</v>
      </c>
      <c r="G41" t="str">
        <f t="shared" si="13"/>
        <v>[TestCase(-1, 1, -0.707107, 0.707107)]</v>
      </c>
    </row>
    <row r="42" spans="1:10" x14ac:dyDescent="0.3">
      <c r="A42">
        <v>-1</v>
      </c>
      <c r="B42">
        <v>0</v>
      </c>
      <c r="C42">
        <f t="shared" si="10"/>
        <v>1</v>
      </c>
      <c r="D42">
        <f t="shared" si="11"/>
        <v>-1</v>
      </c>
      <c r="E42">
        <f t="shared" si="12"/>
        <v>0</v>
      </c>
      <c r="G42" t="str">
        <f t="shared" si="13"/>
        <v>[TestCase(-1, 0, -1, 0)]</v>
      </c>
    </row>
    <row r="43" spans="1:10" x14ac:dyDescent="0.3">
      <c r="A43">
        <v>-1</v>
      </c>
      <c r="B43">
        <v>-1</v>
      </c>
      <c r="C43">
        <f t="shared" si="10"/>
        <v>1.4142135623730951</v>
      </c>
      <c r="D43">
        <f t="shared" si="11"/>
        <v>-0.70710678118654746</v>
      </c>
      <c r="E43">
        <f t="shared" si="12"/>
        <v>-0.70710678118654746</v>
      </c>
      <c r="G43" t="str">
        <f t="shared" si="13"/>
        <v>[TestCase(-1, -1, -0.707107, -0.707107)]</v>
      </c>
    </row>
    <row r="44" spans="1:10" x14ac:dyDescent="0.3">
      <c r="A44">
        <v>0</v>
      </c>
      <c r="B44">
        <v>-1</v>
      </c>
      <c r="C44">
        <f t="shared" si="10"/>
        <v>1</v>
      </c>
      <c r="D44">
        <f t="shared" si="11"/>
        <v>0</v>
      </c>
      <c r="E44">
        <f t="shared" si="12"/>
        <v>-1</v>
      </c>
      <c r="G44" t="str">
        <f t="shared" si="13"/>
        <v>[TestCase(0, -1, 0, -1)]</v>
      </c>
    </row>
    <row r="45" spans="1:10" x14ac:dyDescent="0.3">
      <c r="A45">
        <v>1</v>
      </c>
      <c r="B45">
        <v>-1</v>
      </c>
      <c r="C45">
        <f t="shared" si="10"/>
        <v>1.4142135623730951</v>
      </c>
      <c r="D45">
        <f t="shared" si="11"/>
        <v>0.70710678118654746</v>
      </c>
      <c r="E45">
        <f t="shared" si="12"/>
        <v>-0.70710678118654746</v>
      </c>
      <c r="G45" t="str">
        <f t="shared" si="13"/>
        <v>[TestCase(1, -1, 0.707107, -0.707107)]</v>
      </c>
    </row>
    <row r="47" spans="1:10" s="2" customFormat="1" x14ac:dyDescent="0.3">
      <c r="A47" s="2" t="s">
        <v>309</v>
      </c>
    </row>
    <row r="48" spans="1:10" s="6" customFormat="1" x14ac:dyDescent="0.3">
      <c r="A48" s="6" t="s">
        <v>125</v>
      </c>
      <c r="B48" s="6" t="s">
        <v>126</v>
      </c>
      <c r="C48" s="6" t="s">
        <v>127</v>
      </c>
      <c r="D48" s="6" t="s">
        <v>128</v>
      </c>
      <c r="E48" s="6" t="s">
        <v>312</v>
      </c>
      <c r="F48" s="6" t="s">
        <v>313</v>
      </c>
      <c r="G48" s="6" t="s">
        <v>314</v>
      </c>
      <c r="H48" s="6" t="s">
        <v>315</v>
      </c>
      <c r="I48" s="6" t="s">
        <v>316</v>
      </c>
      <c r="J48" s="6" t="s">
        <v>317</v>
      </c>
    </row>
    <row r="49" spans="1:12" x14ac:dyDescent="0.3">
      <c r="A49">
        <v>0</v>
      </c>
      <c r="B49">
        <v>0</v>
      </c>
      <c r="C49">
        <v>0</v>
      </c>
      <c r="D49">
        <v>0</v>
      </c>
      <c r="E49">
        <f t="shared" ref="E49:E55" si="14">SQRT((C49-A49)^2+(D49-B49)^2)</f>
        <v>0</v>
      </c>
      <c r="F49">
        <v>0</v>
      </c>
      <c r="G49">
        <v>0</v>
      </c>
      <c r="H49" t="e">
        <f t="shared" ref="H49:H55" si="15">(C49-A49)/E49</f>
        <v>#DIV/0!</v>
      </c>
      <c r="I49" t="e">
        <f t="shared" ref="I49:I55" si="16">(D49-B49)/E49</f>
        <v>#DIV/0!</v>
      </c>
      <c r="J49" t="e">
        <f t="shared" ref="J49:J55" si="17">SQRT((H49-F49)^2+(I49-G49)^2)</f>
        <v>#DIV/0!</v>
      </c>
    </row>
    <row r="50" spans="1:12" x14ac:dyDescent="0.3">
      <c r="A50">
        <v>0</v>
      </c>
      <c r="B50">
        <v>0</v>
      </c>
      <c r="C50">
        <v>1</v>
      </c>
      <c r="D50">
        <v>0</v>
      </c>
      <c r="E50">
        <f t="shared" si="14"/>
        <v>1</v>
      </c>
      <c r="F50">
        <v>0</v>
      </c>
      <c r="G50">
        <v>0</v>
      </c>
      <c r="H50">
        <f t="shared" si="15"/>
        <v>1</v>
      </c>
      <c r="I50">
        <f t="shared" si="16"/>
        <v>0</v>
      </c>
      <c r="J50">
        <f t="shared" si="17"/>
        <v>1</v>
      </c>
      <c r="L50" t="str">
        <f>"[TestCase("&amp;A50&amp;", "&amp;B50&amp;", "&amp;C50&amp;", "&amp;D50&amp;", "&amp;ROUND(H50,6)&amp;", "&amp;ROUND(I50,6)&amp;")]"</f>
        <v>[TestCase(0, 0, 1, 0, 1, 0)]</v>
      </c>
    </row>
    <row r="51" spans="1:12" x14ac:dyDescent="0.3">
      <c r="A51">
        <v>0</v>
      </c>
      <c r="B51">
        <v>0</v>
      </c>
      <c r="C51">
        <v>0</v>
      </c>
      <c r="D51">
        <v>1</v>
      </c>
      <c r="E51">
        <f t="shared" si="14"/>
        <v>1</v>
      </c>
      <c r="F51">
        <v>0</v>
      </c>
      <c r="G51">
        <v>0</v>
      </c>
      <c r="H51">
        <f t="shared" si="15"/>
        <v>0</v>
      </c>
      <c r="I51">
        <f t="shared" si="16"/>
        <v>1</v>
      </c>
      <c r="J51">
        <f t="shared" si="17"/>
        <v>1</v>
      </c>
      <c r="L51" t="str">
        <f t="shared" ref="L51:L55" si="18">"[TestCase("&amp;A51&amp;", "&amp;B51&amp;", "&amp;C51&amp;", "&amp;D51&amp;", "&amp;ROUND(H51,6)&amp;", "&amp;ROUND(I51,6)&amp;")]"</f>
        <v>[TestCase(0, 0, 0, 1, 0, 1)]</v>
      </c>
    </row>
    <row r="52" spans="1:12" x14ac:dyDescent="0.3">
      <c r="A52">
        <v>0</v>
      </c>
      <c r="B52">
        <v>0</v>
      </c>
      <c r="C52">
        <v>1</v>
      </c>
      <c r="D52">
        <v>1</v>
      </c>
      <c r="E52">
        <f t="shared" si="14"/>
        <v>1.4142135623730951</v>
      </c>
      <c r="F52">
        <v>0</v>
      </c>
      <c r="G52">
        <v>0</v>
      </c>
      <c r="H52">
        <f t="shared" si="15"/>
        <v>0.70710678118654746</v>
      </c>
      <c r="I52">
        <f t="shared" si="16"/>
        <v>0.70710678118654746</v>
      </c>
      <c r="J52">
        <f t="shared" si="17"/>
        <v>0.99999999999999989</v>
      </c>
      <c r="L52" t="str">
        <f t="shared" si="18"/>
        <v>[TestCase(0, 0, 1, 1, 0.707107, 0.707107)]</v>
      </c>
    </row>
    <row r="53" spans="1:12" x14ac:dyDescent="0.3">
      <c r="A53">
        <v>0</v>
      </c>
      <c r="B53">
        <v>0</v>
      </c>
      <c r="C53">
        <v>2</v>
      </c>
      <c r="D53">
        <v>3</v>
      </c>
      <c r="E53">
        <f t="shared" si="14"/>
        <v>3.6055512754639891</v>
      </c>
      <c r="F53">
        <v>0</v>
      </c>
      <c r="G53">
        <v>0</v>
      </c>
      <c r="H53">
        <f t="shared" si="15"/>
        <v>0.55470019622522915</v>
      </c>
      <c r="I53">
        <f t="shared" si="16"/>
        <v>0.83205029433784372</v>
      </c>
      <c r="J53">
        <f t="shared" si="17"/>
        <v>1</v>
      </c>
      <c r="L53" t="str">
        <f t="shared" si="18"/>
        <v>[TestCase(0, 0, 2, 3, 0.5547, 0.83205)]</v>
      </c>
    </row>
    <row r="54" spans="1:12" x14ac:dyDescent="0.3">
      <c r="A54">
        <v>2</v>
      </c>
      <c r="B54">
        <v>3</v>
      </c>
      <c r="C54">
        <v>4</v>
      </c>
      <c r="D54">
        <v>5</v>
      </c>
      <c r="E54">
        <f t="shared" si="14"/>
        <v>2.8284271247461903</v>
      </c>
      <c r="F54">
        <v>0</v>
      </c>
      <c r="G54">
        <v>0</v>
      </c>
      <c r="H54">
        <f t="shared" si="15"/>
        <v>0.70710678118654746</v>
      </c>
      <c r="I54">
        <f t="shared" si="16"/>
        <v>0.70710678118654746</v>
      </c>
      <c r="J54">
        <f t="shared" si="17"/>
        <v>0.99999999999999989</v>
      </c>
      <c r="L54" t="str">
        <f t="shared" si="18"/>
        <v>[TestCase(2, 3, 4, 5, 0.707107, 0.707107)]</v>
      </c>
    </row>
    <row r="55" spans="1:12" x14ac:dyDescent="0.3">
      <c r="A55">
        <v>-2</v>
      </c>
      <c r="B55">
        <v>3</v>
      </c>
      <c r="C55">
        <v>4</v>
      </c>
      <c r="D55">
        <v>-5</v>
      </c>
      <c r="E55">
        <f t="shared" si="14"/>
        <v>10</v>
      </c>
      <c r="F55">
        <v>0</v>
      </c>
      <c r="G55">
        <v>0</v>
      </c>
      <c r="H55">
        <f t="shared" si="15"/>
        <v>0.6</v>
      </c>
      <c r="I55">
        <f t="shared" si="16"/>
        <v>-0.8</v>
      </c>
      <c r="J55">
        <f t="shared" si="17"/>
        <v>1</v>
      </c>
      <c r="L55" t="str">
        <f t="shared" si="18"/>
        <v>[TestCase(-2, 3, 4, -5, 0.6, -0.8)]</v>
      </c>
    </row>
    <row r="57" spans="1:12" s="2" customFormat="1" x14ac:dyDescent="0.3">
      <c r="A57" s="2" t="s">
        <v>310</v>
      </c>
    </row>
    <row r="58" spans="1:12" s="6" customFormat="1" x14ac:dyDescent="0.3">
      <c r="A58" s="6" t="s">
        <v>125</v>
      </c>
      <c r="B58" s="6" t="s">
        <v>126</v>
      </c>
      <c r="C58" s="6" t="s">
        <v>127</v>
      </c>
      <c r="D58" s="6" t="s">
        <v>128</v>
      </c>
      <c r="E58" s="6" t="s">
        <v>312</v>
      </c>
      <c r="F58" s="6" t="s">
        <v>313</v>
      </c>
      <c r="G58" s="6" t="s">
        <v>314</v>
      </c>
      <c r="H58" s="6" t="s">
        <v>315</v>
      </c>
      <c r="I58" s="6" t="s">
        <v>316</v>
      </c>
      <c r="J58" s="6" t="s">
        <v>317</v>
      </c>
    </row>
    <row r="59" spans="1:12" x14ac:dyDescent="0.3">
      <c r="A59">
        <v>0</v>
      </c>
      <c r="B59">
        <v>0</v>
      </c>
      <c r="C59">
        <v>0</v>
      </c>
      <c r="D59">
        <v>0</v>
      </c>
      <c r="E59">
        <f t="shared" ref="E59:E65" si="19">SQRT((C59-A59)^2+(D59-B59)^2)</f>
        <v>0</v>
      </c>
      <c r="F59">
        <v>0</v>
      </c>
      <c r="G59">
        <v>0</v>
      </c>
      <c r="H59" t="e">
        <f t="shared" ref="H59:H65" si="20">(C59-A59)/E59</f>
        <v>#DIV/0!</v>
      </c>
      <c r="I59" t="e">
        <f t="shared" ref="I59:I65" si="21">(D59-B59)/E59</f>
        <v>#DIV/0!</v>
      </c>
      <c r="J59" t="e">
        <f t="shared" ref="J59:J65" si="22">SQRT((H59-F59)^2+(I59-G59)^2)</f>
        <v>#DIV/0!</v>
      </c>
    </row>
    <row r="60" spans="1:12" x14ac:dyDescent="0.3">
      <c r="A60">
        <v>0</v>
      </c>
      <c r="B60">
        <v>0</v>
      </c>
      <c r="C60">
        <v>1</v>
      </c>
      <c r="D60">
        <v>0</v>
      </c>
      <c r="E60">
        <f t="shared" si="19"/>
        <v>1</v>
      </c>
      <c r="F60">
        <v>0</v>
      </c>
      <c r="G60">
        <v>0</v>
      </c>
      <c r="H60">
        <f t="shared" si="20"/>
        <v>1</v>
      </c>
      <c r="I60">
        <f t="shared" si="21"/>
        <v>0</v>
      </c>
      <c r="J60">
        <f t="shared" si="22"/>
        <v>1</v>
      </c>
      <c r="L60" t="str">
        <f>"[TestCase("&amp;A60&amp;", "&amp;B60&amp;", "&amp;C60&amp;", "&amp;D60&amp;", "&amp;ROUND(H60,6)&amp;", "&amp;ROUND(I60,6)&amp;")]"</f>
        <v>[TestCase(0, 0, 1, 0, 1, 0)]</v>
      </c>
    </row>
    <row r="61" spans="1:12" x14ac:dyDescent="0.3">
      <c r="A61">
        <v>0</v>
      </c>
      <c r="B61">
        <v>0</v>
      </c>
      <c r="C61">
        <v>0</v>
      </c>
      <c r="D61">
        <v>1</v>
      </c>
      <c r="E61">
        <f t="shared" si="19"/>
        <v>1</v>
      </c>
      <c r="F61">
        <v>0</v>
      </c>
      <c r="G61">
        <v>0</v>
      </c>
      <c r="H61">
        <f t="shared" si="20"/>
        <v>0</v>
      </c>
      <c r="I61">
        <f t="shared" si="21"/>
        <v>1</v>
      </c>
      <c r="J61">
        <f t="shared" si="22"/>
        <v>1</v>
      </c>
      <c r="L61" t="str">
        <f t="shared" ref="L61:L65" si="23">"[TestCase("&amp;A61&amp;", "&amp;B61&amp;", "&amp;C61&amp;", "&amp;D61&amp;", "&amp;ROUND(H61,6)&amp;", "&amp;ROUND(I61,6)&amp;")]"</f>
        <v>[TestCase(0, 0, 0, 1, 0, 1)]</v>
      </c>
    </row>
    <row r="62" spans="1:12" x14ac:dyDescent="0.3">
      <c r="A62">
        <v>0</v>
      </c>
      <c r="B62">
        <v>0</v>
      </c>
      <c r="C62">
        <v>1</v>
      </c>
      <c r="D62">
        <v>1</v>
      </c>
      <c r="E62">
        <f t="shared" si="19"/>
        <v>1.4142135623730951</v>
      </c>
      <c r="F62">
        <v>0</v>
      </c>
      <c r="G62">
        <v>0</v>
      </c>
      <c r="H62">
        <f t="shared" si="20"/>
        <v>0.70710678118654746</v>
      </c>
      <c r="I62">
        <f t="shared" si="21"/>
        <v>0.70710678118654746</v>
      </c>
      <c r="J62">
        <f t="shared" si="22"/>
        <v>0.99999999999999989</v>
      </c>
      <c r="L62" t="str">
        <f t="shared" si="23"/>
        <v>[TestCase(0, 0, 1, 1, 0.707107, 0.707107)]</v>
      </c>
    </row>
    <row r="63" spans="1:12" x14ac:dyDescent="0.3">
      <c r="A63">
        <v>0</v>
      </c>
      <c r="B63">
        <v>0</v>
      </c>
      <c r="C63">
        <v>2</v>
      </c>
      <c r="D63">
        <v>3</v>
      </c>
      <c r="E63">
        <f t="shared" si="19"/>
        <v>3.6055512754639891</v>
      </c>
      <c r="F63">
        <v>0</v>
      </c>
      <c r="G63">
        <v>0</v>
      </c>
      <c r="H63">
        <f t="shared" si="20"/>
        <v>0.55470019622522915</v>
      </c>
      <c r="I63">
        <f t="shared" si="21"/>
        <v>0.83205029433784372</v>
      </c>
      <c r="J63">
        <f t="shared" si="22"/>
        <v>1</v>
      </c>
      <c r="L63" t="str">
        <f t="shared" si="23"/>
        <v>[TestCase(0, 0, 2, 3, 0.5547, 0.83205)]</v>
      </c>
    </row>
    <row r="64" spans="1:12" x14ac:dyDescent="0.3">
      <c r="A64">
        <v>2</v>
      </c>
      <c r="B64">
        <v>3</v>
      </c>
      <c r="C64">
        <v>4</v>
      </c>
      <c r="D64">
        <v>5</v>
      </c>
      <c r="E64">
        <f t="shared" si="19"/>
        <v>2.8284271247461903</v>
      </c>
      <c r="F64">
        <v>0</v>
      </c>
      <c r="G64">
        <v>0</v>
      </c>
      <c r="H64">
        <f t="shared" si="20"/>
        <v>0.70710678118654746</v>
      </c>
      <c r="I64">
        <f t="shared" si="21"/>
        <v>0.70710678118654746</v>
      </c>
      <c r="J64">
        <f t="shared" si="22"/>
        <v>0.99999999999999989</v>
      </c>
      <c r="L64" t="str">
        <f t="shared" si="23"/>
        <v>[TestCase(2, 3, 4, 5, 0.707107, 0.707107)]</v>
      </c>
    </row>
    <row r="65" spans="1:15" x14ac:dyDescent="0.3">
      <c r="A65">
        <v>-2</v>
      </c>
      <c r="B65">
        <v>3</v>
      </c>
      <c r="C65">
        <v>4</v>
      </c>
      <c r="D65">
        <v>-5</v>
      </c>
      <c r="E65">
        <f t="shared" si="19"/>
        <v>10</v>
      </c>
      <c r="F65">
        <v>0</v>
      </c>
      <c r="G65">
        <v>0</v>
      </c>
      <c r="H65">
        <f t="shared" si="20"/>
        <v>0.6</v>
      </c>
      <c r="I65">
        <f t="shared" si="21"/>
        <v>-0.8</v>
      </c>
      <c r="J65">
        <f t="shared" si="22"/>
        <v>1</v>
      </c>
      <c r="L65" t="str">
        <f t="shared" si="23"/>
        <v>[TestCase(-2, 3, 4, -5, 0.6, -0.8)]</v>
      </c>
    </row>
    <row r="67" spans="1:15" s="2" customFormat="1" x14ac:dyDescent="0.3">
      <c r="A67" s="2" t="s">
        <v>311</v>
      </c>
    </row>
    <row r="68" spans="1:15" s="3" customFormat="1" x14ac:dyDescent="0.3">
      <c r="A68" s="118" t="s">
        <v>318</v>
      </c>
      <c r="B68" s="118"/>
      <c r="C68" s="118"/>
      <c r="D68" s="118"/>
      <c r="E68" s="118"/>
      <c r="F68" s="118" t="s">
        <v>311</v>
      </c>
      <c r="G68" s="118"/>
      <c r="H68" s="118"/>
      <c r="I68" s="118"/>
      <c r="J68" s="118"/>
      <c r="K68" s="118" t="s">
        <v>311</v>
      </c>
      <c r="L68" s="118"/>
      <c r="M68" s="118"/>
      <c r="N68" s="118"/>
      <c r="O68" s="118"/>
    </row>
    <row r="69" spans="1:15" s="6" customFormat="1" x14ac:dyDescent="0.3">
      <c r="A69" s="6" t="s">
        <v>125</v>
      </c>
      <c r="B69" s="6" t="s">
        <v>126</v>
      </c>
      <c r="C69" s="6" t="s">
        <v>127</v>
      </c>
      <c r="D69" s="6" t="s">
        <v>128</v>
      </c>
      <c r="E69" s="6" t="s">
        <v>312</v>
      </c>
      <c r="F69" s="6" t="s">
        <v>313</v>
      </c>
      <c r="G69" s="6" t="s">
        <v>314</v>
      </c>
      <c r="H69" s="6" t="s">
        <v>315</v>
      </c>
      <c r="I69" s="6" t="s">
        <v>316</v>
      </c>
      <c r="J69" s="6" t="s">
        <v>317</v>
      </c>
      <c r="K69"/>
      <c r="L69"/>
      <c r="M69"/>
      <c r="N69"/>
      <c r="O69"/>
    </row>
    <row r="70" spans="1:15" x14ac:dyDescent="0.3">
      <c r="A70">
        <v>0</v>
      </c>
      <c r="B70">
        <v>0</v>
      </c>
      <c r="C70">
        <v>0</v>
      </c>
      <c r="D70">
        <v>0</v>
      </c>
      <c r="E70">
        <f t="shared" ref="E70:E76" si="24">SQRT((C70-A70)^2+(D70-B70)^2)</f>
        <v>0</v>
      </c>
      <c r="F70">
        <v>0</v>
      </c>
      <c r="G70">
        <v>0</v>
      </c>
      <c r="H70" t="e">
        <f>-(D70-B70)/E70</f>
        <v>#DIV/0!</v>
      </c>
      <c r="I70" t="e">
        <f>(C70-A70)/E70</f>
        <v>#DIV/0!</v>
      </c>
      <c r="J70" t="e">
        <f t="shared" ref="J70:J76" si="25">SQRT((H70-F70)^2+(I70-G70)^2)</f>
        <v>#DIV/0!</v>
      </c>
    </row>
    <row r="71" spans="1:15" x14ac:dyDescent="0.3">
      <c r="A71">
        <v>0</v>
      </c>
      <c r="B71">
        <v>0</v>
      </c>
      <c r="C71">
        <v>1</v>
      </c>
      <c r="D71">
        <v>0</v>
      </c>
      <c r="E71">
        <f t="shared" si="24"/>
        <v>1</v>
      </c>
      <c r="F71">
        <v>0</v>
      </c>
      <c r="G71">
        <v>0</v>
      </c>
      <c r="H71">
        <f t="shared" ref="H71:H76" si="26">-(D71-B71)/E71</f>
        <v>0</v>
      </c>
      <c r="I71">
        <f t="shared" ref="I71:I76" si="27">(C71-A71)/E71</f>
        <v>1</v>
      </c>
      <c r="J71">
        <f t="shared" si="25"/>
        <v>1</v>
      </c>
      <c r="L71" t="str">
        <f>"[TestCase("&amp;A71&amp;", "&amp;B71&amp;", "&amp;C71&amp;", "&amp;D71&amp;", "&amp;ROUND(H71,6)&amp;", "&amp;ROUND(I71,6)&amp;")]"</f>
        <v>[TestCase(0, 0, 1, 0, 0, 1)]</v>
      </c>
    </row>
    <row r="72" spans="1:15" x14ac:dyDescent="0.3">
      <c r="A72">
        <v>0</v>
      </c>
      <c r="B72">
        <v>0</v>
      </c>
      <c r="C72">
        <v>0</v>
      </c>
      <c r="D72">
        <v>1</v>
      </c>
      <c r="E72">
        <f t="shared" si="24"/>
        <v>1</v>
      </c>
      <c r="F72">
        <v>0</v>
      </c>
      <c r="G72">
        <v>0</v>
      </c>
      <c r="H72">
        <f t="shared" si="26"/>
        <v>-1</v>
      </c>
      <c r="I72">
        <f t="shared" si="27"/>
        <v>0</v>
      </c>
      <c r="J72">
        <f t="shared" si="25"/>
        <v>1</v>
      </c>
      <c r="L72" t="str">
        <f t="shared" ref="L72:L76" si="28">"[TestCase("&amp;A72&amp;", "&amp;B72&amp;", "&amp;C72&amp;", "&amp;D72&amp;", "&amp;ROUND(H72,6)&amp;", "&amp;ROUND(I72,6)&amp;")]"</f>
        <v>[TestCase(0, 0, 0, 1, -1, 0)]</v>
      </c>
    </row>
    <row r="73" spans="1:15" x14ac:dyDescent="0.3">
      <c r="A73">
        <v>0</v>
      </c>
      <c r="B73">
        <v>0</v>
      </c>
      <c r="C73">
        <v>1</v>
      </c>
      <c r="D73">
        <v>1</v>
      </c>
      <c r="E73">
        <f t="shared" si="24"/>
        <v>1.4142135623730951</v>
      </c>
      <c r="F73">
        <v>0</v>
      </c>
      <c r="G73">
        <v>0</v>
      </c>
      <c r="H73">
        <f t="shared" si="26"/>
        <v>-0.70710678118654746</v>
      </c>
      <c r="I73">
        <f t="shared" si="27"/>
        <v>0.70710678118654746</v>
      </c>
      <c r="J73">
        <f t="shared" si="25"/>
        <v>0.99999999999999989</v>
      </c>
      <c r="L73" t="str">
        <f t="shared" si="28"/>
        <v>[TestCase(0, 0, 1, 1, -0.707107, 0.707107)]</v>
      </c>
    </row>
    <row r="74" spans="1:15" x14ac:dyDescent="0.3">
      <c r="A74">
        <v>0</v>
      </c>
      <c r="B74">
        <v>0</v>
      </c>
      <c r="C74">
        <v>2</v>
      </c>
      <c r="D74">
        <v>3</v>
      </c>
      <c r="E74">
        <f t="shared" si="24"/>
        <v>3.6055512754639891</v>
      </c>
      <c r="F74">
        <v>0</v>
      </c>
      <c r="G74">
        <v>0</v>
      </c>
      <c r="H74">
        <f t="shared" si="26"/>
        <v>-0.83205029433784372</v>
      </c>
      <c r="I74">
        <f t="shared" si="27"/>
        <v>0.55470019622522915</v>
      </c>
      <c r="J74">
        <f t="shared" si="25"/>
        <v>1</v>
      </c>
      <c r="L74" t="str">
        <f t="shared" si="28"/>
        <v>[TestCase(0, 0, 2, 3, -0.83205, 0.5547)]</v>
      </c>
    </row>
    <row r="75" spans="1:15" x14ac:dyDescent="0.3">
      <c r="A75">
        <v>2</v>
      </c>
      <c r="B75">
        <v>3</v>
      </c>
      <c r="C75">
        <v>4</v>
      </c>
      <c r="D75">
        <v>5</v>
      </c>
      <c r="E75">
        <f t="shared" si="24"/>
        <v>2.8284271247461903</v>
      </c>
      <c r="F75">
        <v>0</v>
      </c>
      <c r="G75">
        <v>0</v>
      </c>
      <c r="H75">
        <f t="shared" si="26"/>
        <v>-0.70710678118654746</v>
      </c>
      <c r="I75">
        <f t="shared" si="27"/>
        <v>0.70710678118654746</v>
      </c>
      <c r="J75">
        <f t="shared" si="25"/>
        <v>0.99999999999999989</v>
      </c>
      <c r="L75" t="str">
        <f t="shared" si="28"/>
        <v>[TestCase(2, 3, 4, 5, -0.707107, 0.707107)]</v>
      </c>
    </row>
    <row r="76" spans="1:15" x14ac:dyDescent="0.3">
      <c r="A76">
        <v>-2</v>
      </c>
      <c r="B76">
        <v>3</v>
      </c>
      <c r="C76">
        <v>4</v>
      </c>
      <c r="D76">
        <v>-5</v>
      </c>
      <c r="E76">
        <f t="shared" si="24"/>
        <v>10</v>
      </c>
      <c r="F76">
        <v>0</v>
      </c>
      <c r="G76">
        <v>0</v>
      </c>
      <c r="H76">
        <f t="shared" si="26"/>
        <v>0.8</v>
      </c>
      <c r="I76">
        <f t="shared" si="27"/>
        <v>0.6</v>
      </c>
      <c r="J76">
        <f t="shared" si="25"/>
        <v>1</v>
      </c>
      <c r="L76" t="str">
        <f t="shared" si="28"/>
        <v>[TestCase(-2, 3, 4, -5, 0.8, 0.6)]</v>
      </c>
    </row>
  </sheetData>
  <mergeCells count="3">
    <mergeCell ref="F68:J68"/>
    <mergeCell ref="A68:E68"/>
    <mergeCell ref="K68:O6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E11E1-220A-447B-A3F4-1C24A01EFBA2}">
  <sheetPr codeName="Sheet7"/>
  <dimension ref="A1:L78"/>
  <sheetViews>
    <sheetView topLeftCell="A49" workbookViewId="0">
      <selection activeCell="M87" sqref="M87"/>
    </sheetView>
  </sheetViews>
  <sheetFormatPr defaultRowHeight="14.4" x14ac:dyDescent="0.3"/>
  <cols>
    <col min="1" max="1" width="11.6640625" customWidth="1"/>
    <col min="2" max="2" width="12" customWidth="1"/>
    <col min="3" max="3" width="16.21875" customWidth="1"/>
    <col min="4" max="4" width="17.44140625" bestFit="1" customWidth="1"/>
    <col min="5" max="5" width="16.33203125" customWidth="1"/>
  </cols>
  <sheetData>
    <row r="1" spans="1:6" s="2" customFormat="1" x14ac:dyDescent="0.3">
      <c r="A1" s="2" t="s">
        <v>6</v>
      </c>
    </row>
    <row r="2" spans="1:6" x14ac:dyDescent="0.3">
      <c r="A2" s="6" t="s">
        <v>16</v>
      </c>
      <c r="B2" s="6" t="s">
        <v>15</v>
      </c>
      <c r="C2" s="6" t="s">
        <v>14</v>
      </c>
      <c r="D2" s="6" t="s">
        <v>17</v>
      </c>
      <c r="E2" s="6" t="s">
        <v>12</v>
      </c>
      <c r="F2" s="6" t="s">
        <v>13</v>
      </c>
    </row>
    <row r="3" spans="1:6" x14ac:dyDescent="0.3">
      <c r="A3">
        <v>0</v>
      </c>
      <c r="B3">
        <v>0</v>
      </c>
      <c r="C3">
        <v>0</v>
      </c>
      <c r="D3">
        <v>0</v>
      </c>
      <c r="E3">
        <f>A3-C3</f>
        <v>0</v>
      </c>
      <c r="F3">
        <f>B3-D3</f>
        <v>0</v>
      </c>
    </row>
    <row r="4" spans="1:6" x14ac:dyDescent="0.3">
      <c r="A4">
        <v>1</v>
      </c>
      <c r="B4">
        <v>2</v>
      </c>
      <c r="C4">
        <v>3</v>
      </c>
      <c r="D4">
        <v>4</v>
      </c>
      <c r="E4">
        <f t="shared" ref="E4:E6" si="0">A4-C4</f>
        <v>-2</v>
      </c>
      <c r="F4">
        <f t="shared" ref="F4:F7" si="1">B4-D4</f>
        <v>-2</v>
      </c>
    </row>
    <row r="5" spans="1:6" x14ac:dyDescent="0.3">
      <c r="A5">
        <v>1</v>
      </c>
      <c r="B5">
        <v>2</v>
      </c>
      <c r="C5">
        <v>-1</v>
      </c>
      <c r="D5">
        <v>-2</v>
      </c>
      <c r="E5">
        <f t="shared" si="0"/>
        <v>2</v>
      </c>
      <c r="F5">
        <f t="shared" si="1"/>
        <v>4</v>
      </c>
    </row>
    <row r="6" spans="1:6" x14ac:dyDescent="0.3">
      <c r="A6">
        <v>1</v>
      </c>
      <c r="B6">
        <v>-2</v>
      </c>
      <c r="C6">
        <v>-2</v>
      </c>
      <c r="D6">
        <v>4</v>
      </c>
      <c r="E6">
        <f t="shared" si="0"/>
        <v>3</v>
      </c>
      <c r="F6">
        <f t="shared" si="1"/>
        <v>-6</v>
      </c>
    </row>
    <row r="7" spans="1:6" x14ac:dyDescent="0.3">
      <c r="A7">
        <v>-3</v>
      </c>
      <c r="B7">
        <v>2</v>
      </c>
      <c r="C7">
        <v>-2</v>
      </c>
      <c r="D7">
        <v>-4</v>
      </c>
      <c r="E7">
        <f>A7-C7</f>
        <v>-1</v>
      </c>
      <c r="F7">
        <f t="shared" si="1"/>
        <v>6</v>
      </c>
    </row>
    <row r="8" spans="1:6" x14ac:dyDescent="0.3">
      <c r="A8">
        <v>-3</v>
      </c>
      <c r="B8">
        <v>2</v>
      </c>
      <c r="C8">
        <v>-3</v>
      </c>
      <c r="D8">
        <v>2</v>
      </c>
      <c r="E8">
        <f>A8-C8</f>
        <v>0</v>
      </c>
      <c r="F8">
        <f t="shared" ref="F8" si="2">B8-D8</f>
        <v>0</v>
      </c>
    </row>
    <row r="9" spans="1:6" s="2" customFormat="1" x14ac:dyDescent="0.3">
      <c r="A9" s="2" t="s">
        <v>5</v>
      </c>
    </row>
    <row r="10" spans="1:6" x14ac:dyDescent="0.3">
      <c r="A10" s="6" t="s">
        <v>16</v>
      </c>
      <c r="B10" s="6" t="s">
        <v>15</v>
      </c>
      <c r="C10" s="6" t="s">
        <v>14</v>
      </c>
      <c r="D10" s="6" t="s">
        <v>17</v>
      </c>
      <c r="E10" s="6" t="s">
        <v>12</v>
      </c>
      <c r="F10" s="6" t="s">
        <v>13</v>
      </c>
    </row>
    <row r="11" spans="1:6" x14ac:dyDescent="0.3">
      <c r="A11">
        <v>0</v>
      </c>
      <c r="B11">
        <v>0</v>
      </c>
      <c r="C11">
        <v>0</v>
      </c>
      <c r="D11">
        <v>0</v>
      </c>
      <c r="E11">
        <f t="shared" ref="E11:F16" si="3">A11+C11</f>
        <v>0</v>
      </c>
      <c r="F11">
        <f t="shared" si="3"/>
        <v>0</v>
      </c>
    </row>
    <row r="12" spans="1:6" x14ac:dyDescent="0.3">
      <c r="A12">
        <v>1</v>
      </c>
      <c r="B12">
        <v>2</v>
      </c>
      <c r="C12">
        <v>3</v>
      </c>
      <c r="D12">
        <v>4</v>
      </c>
      <c r="E12">
        <f t="shared" si="3"/>
        <v>4</v>
      </c>
      <c r="F12">
        <f t="shared" si="3"/>
        <v>6</v>
      </c>
    </row>
    <row r="13" spans="1:6" x14ac:dyDescent="0.3">
      <c r="A13">
        <v>1</v>
      </c>
      <c r="B13">
        <v>2</v>
      </c>
      <c r="C13">
        <v>-1</v>
      </c>
      <c r="D13">
        <v>-2</v>
      </c>
      <c r="E13">
        <f t="shared" si="3"/>
        <v>0</v>
      </c>
      <c r="F13">
        <f t="shared" si="3"/>
        <v>0</v>
      </c>
    </row>
    <row r="14" spans="1:6" x14ac:dyDescent="0.3">
      <c r="A14">
        <v>1</v>
      </c>
      <c r="B14">
        <v>-2</v>
      </c>
      <c r="C14">
        <v>-2</v>
      </c>
      <c r="D14">
        <v>4</v>
      </c>
      <c r="E14">
        <f t="shared" si="3"/>
        <v>-1</v>
      </c>
      <c r="F14">
        <f t="shared" si="3"/>
        <v>2</v>
      </c>
    </row>
    <row r="15" spans="1:6" x14ac:dyDescent="0.3">
      <c r="A15">
        <v>-1</v>
      </c>
      <c r="B15">
        <v>2</v>
      </c>
      <c r="C15">
        <v>-2</v>
      </c>
      <c r="D15">
        <v>-4</v>
      </c>
      <c r="E15">
        <f t="shared" si="3"/>
        <v>-3</v>
      </c>
      <c r="F15">
        <f t="shared" si="3"/>
        <v>-2</v>
      </c>
    </row>
    <row r="16" spans="1:6" x14ac:dyDescent="0.3">
      <c r="A16">
        <v>-1</v>
      </c>
      <c r="B16">
        <v>2</v>
      </c>
      <c r="C16">
        <v>2</v>
      </c>
      <c r="D16">
        <v>-4</v>
      </c>
      <c r="E16">
        <f t="shared" si="3"/>
        <v>1</v>
      </c>
      <c r="F16">
        <f t="shared" si="3"/>
        <v>-2</v>
      </c>
    </row>
    <row r="17" spans="1:5" s="2" customFormat="1" x14ac:dyDescent="0.3">
      <c r="A17" s="2" t="s">
        <v>7</v>
      </c>
    </row>
    <row r="18" spans="1:5" x14ac:dyDescent="0.3">
      <c r="A18" s="6" t="s">
        <v>9</v>
      </c>
      <c r="B18" s="6" t="s">
        <v>10</v>
      </c>
      <c r="C18" s="6" t="s">
        <v>11</v>
      </c>
      <c r="D18" s="6" t="s">
        <v>12</v>
      </c>
      <c r="E18" s="6" t="s">
        <v>13</v>
      </c>
    </row>
    <row r="19" spans="1:5" x14ac:dyDescent="0.3">
      <c r="A19" s="7">
        <v>0</v>
      </c>
      <c r="B19" s="7">
        <v>0</v>
      </c>
      <c r="C19" s="7">
        <v>0</v>
      </c>
      <c r="D19">
        <f t="shared" ref="D19:E21" si="4">A19*$C19</f>
        <v>0</v>
      </c>
      <c r="E19">
        <f t="shared" si="4"/>
        <v>0</v>
      </c>
    </row>
    <row r="20" spans="1:5" x14ac:dyDescent="0.3">
      <c r="A20" s="7">
        <v>0</v>
      </c>
      <c r="B20" s="7">
        <v>0</v>
      </c>
      <c r="C20" s="7">
        <v>2</v>
      </c>
      <c r="D20">
        <f t="shared" si="4"/>
        <v>0</v>
      </c>
      <c r="E20">
        <f t="shared" si="4"/>
        <v>0</v>
      </c>
    </row>
    <row r="21" spans="1:5" x14ac:dyDescent="0.3">
      <c r="A21">
        <v>2</v>
      </c>
      <c r="B21">
        <v>3</v>
      </c>
      <c r="C21">
        <v>0</v>
      </c>
      <c r="D21">
        <f t="shared" si="4"/>
        <v>0</v>
      </c>
      <c r="E21">
        <f t="shared" si="4"/>
        <v>0</v>
      </c>
    </row>
    <row r="22" spans="1:5" x14ac:dyDescent="0.3">
      <c r="A22">
        <v>2</v>
      </c>
      <c r="B22">
        <v>3</v>
      </c>
      <c r="C22">
        <v>1</v>
      </c>
      <c r="D22">
        <f t="shared" ref="D22:D25" si="5">A22*$C22</f>
        <v>2</v>
      </c>
      <c r="E22">
        <f t="shared" ref="E22:E25" si="6">B22*$C22</f>
        <v>3</v>
      </c>
    </row>
    <row r="23" spans="1:5" x14ac:dyDescent="0.3">
      <c r="A23">
        <v>2</v>
      </c>
      <c r="B23">
        <v>3</v>
      </c>
      <c r="C23">
        <v>-1</v>
      </c>
      <c r="D23">
        <f t="shared" si="5"/>
        <v>-2</v>
      </c>
      <c r="E23">
        <f t="shared" si="6"/>
        <v>-3</v>
      </c>
    </row>
    <row r="24" spans="1:5" x14ac:dyDescent="0.3">
      <c r="A24">
        <v>2</v>
      </c>
      <c r="B24">
        <v>3</v>
      </c>
      <c r="C24">
        <v>3.2</v>
      </c>
      <c r="D24">
        <f t="shared" si="5"/>
        <v>6.4</v>
      </c>
      <c r="E24">
        <f t="shared" si="6"/>
        <v>9.6000000000000014</v>
      </c>
    </row>
    <row r="25" spans="1:5" x14ac:dyDescent="0.3">
      <c r="A25">
        <v>2</v>
      </c>
      <c r="B25">
        <v>3</v>
      </c>
      <c r="C25">
        <v>-1.2</v>
      </c>
      <c r="D25">
        <f t="shared" si="5"/>
        <v>-2.4</v>
      </c>
      <c r="E25">
        <f t="shared" si="6"/>
        <v>-3.5999999999999996</v>
      </c>
    </row>
    <row r="26" spans="1:5" s="2" customFormat="1" x14ac:dyDescent="0.3">
      <c r="A26" s="2" t="s">
        <v>8</v>
      </c>
    </row>
    <row r="27" spans="1:5" x14ac:dyDescent="0.3">
      <c r="A27" s="6" t="s">
        <v>9</v>
      </c>
      <c r="B27" s="6" t="s">
        <v>10</v>
      </c>
      <c r="C27" s="6" t="s">
        <v>11</v>
      </c>
      <c r="D27" s="6" t="s">
        <v>12</v>
      </c>
      <c r="E27" s="6" t="s">
        <v>13</v>
      </c>
    </row>
    <row r="28" spans="1:5" x14ac:dyDescent="0.3">
      <c r="A28" s="7">
        <v>0</v>
      </c>
      <c r="B28" s="7">
        <v>0</v>
      </c>
      <c r="C28" s="7">
        <v>0</v>
      </c>
      <c r="D28" t="e">
        <f t="shared" ref="D28:E34" si="7">A28/$C28</f>
        <v>#DIV/0!</v>
      </c>
      <c r="E28" t="e">
        <f t="shared" si="7"/>
        <v>#DIV/0!</v>
      </c>
    </row>
    <row r="29" spans="1:5" x14ac:dyDescent="0.3">
      <c r="A29">
        <v>2</v>
      </c>
      <c r="B29">
        <v>3</v>
      </c>
      <c r="C29">
        <v>0</v>
      </c>
      <c r="D29" t="e">
        <f t="shared" si="7"/>
        <v>#DIV/0!</v>
      </c>
      <c r="E29" t="e">
        <f t="shared" si="7"/>
        <v>#DIV/0!</v>
      </c>
    </row>
    <row r="30" spans="1:5" x14ac:dyDescent="0.3">
      <c r="A30" s="7">
        <v>0</v>
      </c>
      <c r="B30" s="7">
        <v>0</v>
      </c>
      <c r="C30" s="7">
        <v>2</v>
      </c>
      <c r="D30">
        <f t="shared" si="7"/>
        <v>0</v>
      </c>
      <c r="E30">
        <f t="shared" si="7"/>
        <v>0</v>
      </c>
    </row>
    <row r="31" spans="1:5" x14ac:dyDescent="0.3">
      <c r="A31">
        <v>2</v>
      </c>
      <c r="B31">
        <v>3</v>
      </c>
      <c r="C31">
        <v>1</v>
      </c>
      <c r="D31">
        <f t="shared" si="7"/>
        <v>2</v>
      </c>
      <c r="E31">
        <f t="shared" si="7"/>
        <v>3</v>
      </c>
    </row>
    <row r="32" spans="1:5" x14ac:dyDescent="0.3">
      <c r="A32">
        <v>2</v>
      </c>
      <c r="B32">
        <v>3</v>
      </c>
      <c r="C32">
        <v>-1</v>
      </c>
      <c r="D32">
        <f t="shared" si="7"/>
        <v>-2</v>
      </c>
      <c r="E32">
        <f t="shared" si="7"/>
        <v>-3</v>
      </c>
    </row>
    <row r="33" spans="1:7" x14ac:dyDescent="0.3">
      <c r="A33">
        <v>2</v>
      </c>
      <c r="B33">
        <v>3</v>
      </c>
      <c r="C33">
        <v>2</v>
      </c>
      <c r="D33">
        <f t="shared" si="7"/>
        <v>1</v>
      </c>
      <c r="E33">
        <f t="shared" si="7"/>
        <v>1.5</v>
      </c>
    </row>
    <row r="34" spans="1:7" x14ac:dyDescent="0.3">
      <c r="A34">
        <v>2</v>
      </c>
      <c r="B34">
        <v>3</v>
      </c>
      <c r="C34">
        <v>-2</v>
      </c>
      <c r="D34">
        <f t="shared" si="7"/>
        <v>-1</v>
      </c>
      <c r="E34">
        <f t="shared" si="7"/>
        <v>-1.5</v>
      </c>
    </row>
    <row r="36" spans="1:7" s="2" customFormat="1" x14ac:dyDescent="0.3">
      <c r="A36" s="2" t="s">
        <v>179</v>
      </c>
    </row>
    <row r="37" spans="1:7" x14ac:dyDescent="0.3">
      <c r="A37" s="6" t="s">
        <v>141</v>
      </c>
      <c r="B37" s="6" t="s">
        <v>142</v>
      </c>
      <c r="C37" s="6" t="s">
        <v>143</v>
      </c>
      <c r="D37" s="6" t="s">
        <v>144</v>
      </c>
      <c r="E37" s="6" t="s">
        <v>145</v>
      </c>
    </row>
    <row r="38" spans="1:7" x14ac:dyDescent="0.3">
      <c r="A38">
        <v>3</v>
      </c>
      <c r="B38">
        <v>4</v>
      </c>
      <c r="C38">
        <v>0</v>
      </c>
      <c r="D38">
        <f>A38*COS(C38)-B38*SIN(C38)</f>
        <v>3</v>
      </c>
      <c r="E38">
        <f>A38*SIN(C38)+B38*COS(C38)</f>
        <v>4</v>
      </c>
      <c r="G38" t="str">
        <f>"[TestCase("&amp;A38&amp;","&amp;B38&amp;","&amp;ROUND(C38,6)&amp;","&amp;ROUND(D38,6)&amp;","&amp;ROUND(E38,6)&amp;")]"</f>
        <v>[TestCase(3,4,0,3,4)]</v>
      </c>
    </row>
    <row r="39" spans="1:7" x14ac:dyDescent="0.3">
      <c r="A39">
        <v>3</v>
      </c>
      <c r="B39">
        <v>4</v>
      </c>
      <c r="C39">
        <f>PI()/4</f>
        <v>0.78539816339744828</v>
      </c>
      <c r="D39">
        <f>A39*COS(C39)-B39*SIN(C39)</f>
        <v>-0.70710678118654702</v>
      </c>
      <c r="E39">
        <f t="shared" ref="E39:E46" si="8">A39*SIN(C39)+B39*COS(C39)</f>
        <v>4.9497474683058327</v>
      </c>
      <c r="G39" t="str">
        <f t="shared" ref="G39:G46" si="9">"[TestCase("&amp;A39&amp;","&amp;B39&amp;","&amp;ROUND(C39,6)&amp;","&amp;ROUND(D39,6)&amp;","&amp;ROUND(E39,6)&amp;")]"</f>
        <v>[TestCase(3,4,0.785398,-0.707107,4.949747)]</v>
      </c>
    </row>
    <row r="40" spans="1:7" x14ac:dyDescent="0.3">
      <c r="A40">
        <v>3</v>
      </c>
      <c r="B40">
        <v>4</v>
      </c>
      <c r="C40">
        <f>PI()/2</f>
        <v>1.5707963267948966</v>
      </c>
      <c r="D40">
        <f t="shared" ref="D40:D46" si="10">A40*COS(C40)-B40*SIN(C40)</f>
        <v>-4</v>
      </c>
      <c r="E40">
        <f t="shared" si="8"/>
        <v>3.0000000000000004</v>
      </c>
      <c r="G40" t="str">
        <f t="shared" si="9"/>
        <v>[TestCase(3,4,1.570796,-4,3)]</v>
      </c>
    </row>
    <row r="41" spans="1:7" x14ac:dyDescent="0.3">
      <c r="A41">
        <v>3</v>
      </c>
      <c r="B41">
        <v>4</v>
      </c>
      <c r="C41">
        <f>(3/4)*PI()</f>
        <v>2.3561944901923448</v>
      </c>
      <c r="D41">
        <f t="shared" si="10"/>
        <v>-4.9497474683058327</v>
      </c>
      <c r="E41">
        <f t="shared" si="8"/>
        <v>-0.70710678118654702</v>
      </c>
      <c r="G41" t="str">
        <f t="shared" si="9"/>
        <v>[TestCase(3,4,2.356194,-4.949747,-0.707107)]</v>
      </c>
    </row>
    <row r="42" spans="1:7" x14ac:dyDescent="0.3">
      <c r="A42">
        <v>3</v>
      </c>
      <c r="B42">
        <v>4</v>
      </c>
      <c r="C42">
        <f>PI()</f>
        <v>3.1415926535897931</v>
      </c>
      <c r="D42">
        <f t="shared" si="10"/>
        <v>-3.0000000000000004</v>
      </c>
      <c r="E42">
        <f t="shared" si="8"/>
        <v>-3.9999999999999996</v>
      </c>
      <c r="G42" t="str">
        <f t="shared" si="9"/>
        <v>[TestCase(3,4,3.141593,-3,-4)]</v>
      </c>
    </row>
    <row r="43" spans="1:7" x14ac:dyDescent="0.3">
      <c r="A43">
        <v>3</v>
      </c>
      <c r="B43">
        <v>4</v>
      </c>
      <c r="C43">
        <f>(5/4)*PI()</f>
        <v>3.9269908169872414</v>
      </c>
      <c r="D43">
        <f t="shared" si="10"/>
        <v>0.70710678118654702</v>
      </c>
      <c r="E43">
        <f t="shared" si="8"/>
        <v>-4.9497474683058336</v>
      </c>
      <c r="G43" t="str">
        <f t="shared" si="9"/>
        <v>[TestCase(3,4,3.926991,0.707107,-4.949747)]</v>
      </c>
    </row>
    <row r="44" spans="1:7" x14ac:dyDescent="0.3">
      <c r="A44">
        <v>3</v>
      </c>
      <c r="B44">
        <v>4</v>
      </c>
      <c r="C44">
        <f>(3/2)*PI()</f>
        <v>4.7123889803846897</v>
      </c>
      <c r="D44">
        <f t="shared" si="10"/>
        <v>3.9999999999999996</v>
      </c>
      <c r="E44">
        <f t="shared" si="8"/>
        <v>-3.0000000000000009</v>
      </c>
      <c r="G44" t="str">
        <f t="shared" si="9"/>
        <v>[TestCase(3,4,4.712389,4,-3)]</v>
      </c>
    </row>
    <row r="45" spans="1:7" x14ac:dyDescent="0.3">
      <c r="A45">
        <v>3</v>
      </c>
      <c r="B45">
        <v>4</v>
      </c>
      <c r="C45">
        <f>(7/4)*PI()</f>
        <v>5.497787143782138</v>
      </c>
      <c r="D45">
        <f t="shared" si="10"/>
        <v>4.9497474683058327</v>
      </c>
      <c r="E45">
        <f t="shared" si="8"/>
        <v>0.70710678118654657</v>
      </c>
      <c r="G45" t="str">
        <f t="shared" si="9"/>
        <v>[TestCase(3,4,5.497787,4.949747,0.707107)]</v>
      </c>
    </row>
    <row r="46" spans="1:7" x14ac:dyDescent="0.3">
      <c r="A46">
        <v>3</v>
      </c>
      <c r="B46">
        <v>4</v>
      </c>
      <c r="C46">
        <f>2*PI()</f>
        <v>6.2831853071795862</v>
      </c>
      <c r="D46">
        <f t="shared" si="10"/>
        <v>3.0000000000000009</v>
      </c>
      <c r="E46">
        <f t="shared" si="8"/>
        <v>3.9999999999999991</v>
      </c>
      <c r="G46" t="str">
        <f t="shared" si="9"/>
        <v>[TestCase(3,4,6.283185,3,4)]</v>
      </c>
    </row>
    <row r="48" spans="1:7" s="2" customFormat="1" x14ac:dyDescent="0.3">
      <c r="A48" s="2" t="s">
        <v>180</v>
      </c>
    </row>
    <row r="49" spans="1:9" x14ac:dyDescent="0.3">
      <c r="A49" s="6" t="s">
        <v>9</v>
      </c>
      <c r="B49" s="6" t="s">
        <v>10</v>
      </c>
      <c r="C49" s="6" t="s">
        <v>181</v>
      </c>
      <c r="D49" s="6" t="s">
        <v>182</v>
      </c>
      <c r="E49" s="6" t="s">
        <v>143</v>
      </c>
      <c r="F49" s="6" t="s">
        <v>144</v>
      </c>
      <c r="G49" s="6" t="s">
        <v>145</v>
      </c>
    </row>
    <row r="50" spans="1:9" x14ac:dyDescent="0.3">
      <c r="A50">
        <v>3</v>
      </c>
      <c r="B50">
        <v>4</v>
      </c>
      <c r="C50">
        <v>2</v>
      </c>
      <c r="D50">
        <v>1</v>
      </c>
      <c r="E50">
        <v>0</v>
      </c>
      <c r="F50">
        <f>((A50-C50)*COS(E50)-(B50-D50)*SIN(E50))+C50</f>
        <v>3</v>
      </c>
      <c r="G50">
        <f>((A50-C50)*SIN(E50)+(B50-D50)*COS(E50))+D50</f>
        <v>4</v>
      </c>
      <c r="I50" t="str">
        <f>"[TestCase("&amp;A50&amp;","&amp;B50&amp;","&amp;C50&amp;","&amp;D50&amp;","&amp;ROUND(E50,6)&amp;","&amp;ROUND(F50,6)&amp;","&amp;ROUND(G50,6)&amp;")]"</f>
        <v>[TestCase(3,4,2,1,0,3,4)]</v>
      </c>
    </row>
    <row r="51" spans="1:9" x14ac:dyDescent="0.3">
      <c r="A51">
        <v>3</v>
      </c>
      <c r="B51">
        <v>4</v>
      </c>
      <c r="C51">
        <v>2</v>
      </c>
      <c r="D51">
        <v>1</v>
      </c>
      <c r="E51">
        <f>PI()/4</f>
        <v>0.78539816339744828</v>
      </c>
      <c r="F51">
        <f t="shared" ref="F51:F58" si="11">((A51-C51)*COS(E51)-(B51-D51)*SIN(E51))+C51</f>
        <v>0.58578643762690508</v>
      </c>
      <c r="G51">
        <f t="shared" ref="G51:G58" si="12">((A51-C51)*SIN(E51)+(B51-D51)*COS(E51))+D51</f>
        <v>3.8284271247461903</v>
      </c>
      <c r="I51" t="str">
        <f t="shared" ref="I51:I58" si="13">"[TestCase("&amp;A51&amp;","&amp;B51&amp;","&amp;C51&amp;","&amp;D51&amp;","&amp;ROUND(E51,6)&amp;","&amp;ROUND(F51,6)&amp;","&amp;ROUND(G51,6)&amp;")]"</f>
        <v>[TestCase(3,4,2,1,0.785398,0.585786,3.828427)]</v>
      </c>
    </row>
    <row r="52" spans="1:9" x14ac:dyDescent="0.3">
      <c r="A52">
        <v>3</v>
      </c>
      <c r="B52">
        <v>4</v>
      </c>
      <c r="C52">
        <v>2</v>
      </c>
      <c r="D52">
        <v>1</v>
      </c>
      <c r="E52">
        <f>PI()/2</f>
        <v>1.5707963267948966</v>
      </c>
      <c r="F52">
        <f t="shared" si="11"/>
        <v>-1</v>
      </c>
      <c r="G52">
        <f t="shared" si="12"/>
        <v>2</v>
      </c>
      <c r="I52" t="str">
        <f t="shared" si="13"/>
        <v>[TestCase(3,4,2,1,1.570796,-1,2)]</v>
      </c>
    </row>
    <row r="53" spans="1:9" x14ac:dyDescent="0.3">
      <c r="A53">
        <v>3</v>
      </c>
      <c r="B53">
        <v>4</v>
      </c>
      <c r="C53">
        <v>2</v>
      </c>
      <c r="D53">
        <v>1</v>
      </c>
      <c r="E53">
        <f>(3/4)*PI()</f>
        <v>2.3561944901923448</v>
      </c>
      <c r="F53">
        <f t="shared" si="11"/>
        <v>-0.82842712474619029</v>
      </c>
      <c r="G53">
        <f t="shared" si="12"/>
        <v>-0.41421356237309492</v>
      </c>
      <c r="I53" t="str">
        <f t="shared" si="13"/>
        <v>[TestCase(3,4,2,1,2.356194,-0.828427,-0.414214)]</v>
      </c>
    </row>
    <row r="54" spans="1:9" x14ac:dyDescent="0.3">
      <c r="A54">
        <v>3</v>
      </c>
      <c r="B54">
        <v>4</v>
      </c>
      <c r="C54">
        <v>2</v>
      </c>
      <c r="D54">
        <v>1</v>
      </c>
      <c r="E54">
        <f>PI()</f>
        <v>3.1415926535897931</v>
      </c>
      <c r="F54">
        <f t="shared" si="11"/>
        <v>0.99999999999999956</v>
      </c>
      <c r="G54">
        <f t="shared" si="12"/>
        <v>-2</v>
      </c>
      <c r="I54" t="str">
        <f t="shared" si="13"/>
        <v>[TestCase(3,4,2,1,3.141593,1,-2)]</v>
      </c>
    </row>
    <row r="55" spans="1:9" x14ac:dyDescent="0.3">
      <c r="A55">
        <v>3</v>
      </c>
      <c r="B55">
        <v>4</v>
      </c>
      <c r="C55">
        <v>2</v>
      </c>
      <c r="D55">
        <v>1</v>
      </c>
      <c r="E55">
        <f>(5/4)*PI()</f>
        <v>3.9269908169872414</v>
      </c>
      <c r="F55">
        <f t="shared" si="11"/>
        <v>3.4142135623730949</v>
      </c>
      <c r="G55">
        <f t="shared" si="12"/>
        <v>-1.8284271247461903</v>
      </c>
      <c r="I55" t="str">
        <f t="shared" si="13"/>
        <v>[TestCase(3,4,2,1,3.926991,3.414214,-1.828427)]</v>
      </c>
    </row>
    <row r="56" spans="1:9" x14ac:dyDescent="0.3">
      <c r="A56">
        <v>3</v>
      </c>
      <c r="B56">
        <v>4</v>
      </c>
      <c r="C56">
        <v>2</v>
      </c>
      <c r="D56">
        <v>1</v>
      </c>
      <c r="E56">
        <f>(3/2)*PI()</f>
        <v>4.7123889803846897</v>
      </c>
      <c r="F56">
        <f t="shared" si="11"/>
        <v>5</v>
      </c>
      <c r="G56">
        <f t="shared" si="12"/>
        <v>0</v>
      </c>
      <c r="I56" t="str">
        <f t="shared" si="13"/>
        <v>[TestCase(3,4,2,1,4.712389,5,0)]</v>
      </c>
    </row>
    <row r="57" spans="1:9" x14ac:dyDescent="0.3">
      <c r="A57">
        <v>3</v>
      </c>
      <c r="B57">
        <v>4</v>
      </c>
      <c r="C57">
        <v>2</v>
      </c>
      <c r="D57">
        <v>1</v>
      </c>
      <c r="E57">
        <f>(7/4)*PI()</f>
        <v>5.497787143782138</v>
      </c>
      <c r="F57">
        <f t="shared" si="11"/>
        <v>4.8284271247461898</v>
      </c>
      <c r="G57">
        <f t="shared" si="12"/>
        <v>2.414213562373094</v>
      </c>
      <c r="I57" t="str">
        <f t="shared" si="13"/>
        <v>[TestCase(3,4,2,1,5.497787,4.828427,2.414214)]</v>
      </c>
    </row>
    <row r="58" spans="1:9" x14ac:dyDescent="0.3">
      <c r="A58">
        <v>3</v>
      </c>
      <c r="B58">
        <v>4</v>
      </c>
      <c r="C58">
        <v>2</v>
      </c>
      <c r="D58">
        <v>1</v>
      </c>
      <c r="E58">
        <f>2*PI()</f>
        <v>6.2831853071795862</v>
      </c>
      <c r="F58">
        <f t="shared" si="11"/>
        <v>3.0000000000000009</v>
      </c>
      <c r="G58">
        <f t="shared" si="12"/>
        <v>3.9999999999999996</v>
      </c>
      <c r="I58" t="str">
        <f t="shared" si="13"/>
        <v>[TestCase(3,4,2,1,6.283185,3,4)]</v>
      </c>
    </row>
    <row r="60" spans="1:9" s="2" customFormat="1" x14ac:dyDescent="0.3">
      <c r="A60" s="2" t="s">
        <v>292</v>
      </c>
    </row>
    <row r="61" spans="1:9" s="6" customFormat="1" x14ac:dyDescent="0.3">
      <c r="A61" s="6" t="s">
        <v>9</v>
      </c>
      <c r="B61" s="6" t="s">
        <v>10</v>
      </c>
      <c r="C61" s="6" t="s">
        <v>293</v>
      </c>
      <c r="D61" s="6" t="s">
        <v>294</v>
      </c>
    </row>
    <row r="62" spans="1:9" x14ac:dyDescent="0.3">
      <c r="A62">
        <v>2</v>
      </c>
      <c r="B62">
        <v>3</v>
      </c>
      <c r="C62">
        <f>SQRT(A62^2+B62^2)</f>
        <v>3.6055512754639891</v>
      </c>
      <c r="D62">
        <f>DEGREES(ATAN(B62/A62))</f>
        <v>56.309932474020215</v>
      </c>
      <c r="F62" t="str">
        <f>"[TestCase("&amp;A62&amp;","&amp;B62&amp;","&amp;ROUND(C62,6)&amp;")]"</f>
        <v>[TestCase(2,3,3.605551)]</v>
      </c>
      <c r="I62" t="str">
        <f>"[TestCase("&amp;A62&amp;","&amp;B62&amp;","&amp;ROUND(D62,6)&amp;")]"</f>
        <v>[TestCase(2,3,56.309932)]</v>
      </c>
    </row>
    <row r="63" spans="1:9" x14ac:dyDescent="0.3">
      <c r="A63">
        <v>-2</v>
      </c>
      <c r="B63">
        <v>3</v>
      </c>
      <c r="C63">
        <f t="shared" ref="C63:C66" si="14">SQRT(A63^2+B63^2)</f>
        <v>3.6055512754639891</v>
      </c>
      <c r="D63">
        <f>180+DEGREES(ATAN(B63/A63))</f>
        <v>123.69006752597979</v>
      </c>
      <c r="F63" t="str">
        <f t="shared" ref="F63:F66" si="15">"[TestCase("&amp;A63&amp;","&amp;B63&amp;","&amp;ROUND(C63,6)&amp;")]"</f>
        <v>[TestCase(-2,3,3.605551)]</v>
      </c>
      <c r="I63" t="str">
        <f t="shared" ref="I63:I66" si="16">"[TestCase("&amp;A63&amp;","&amp;B63&amp;","&amp;ROUND(D63,6)&amp;")]"</f>
        <v>[TestCase(-2,3,123.690068)]</v>
      </c>
    </row>
    <row r="64" spans="1:9" x14ac:dyDescent="0.3">
      <c r="A64">
        <v>-2</v>
      </c>
      <c r="B64">
        <v>-3</v>
      </c>
      <c r="C64">
        <f t="shared" si="14"/>
        <v>3.6055512754639891</v>
      </c>
      <c r="D64">
        <f>180+DEGREES(ATAN(B64/A64))</f>
        <v>236.30993247402023</v>
      </c>
      <c r="F64" t="str">
        <f t="shared" si="15"/>
        <v>[TestCase(-2,-3,3.605551)]</v>
      </c>
      <c r="I64" t="str">
        <f t="shared" si="16"/>
        <v>[TestCase(-2,-3,236.309932)]</v>
      </c>
    </row>
    <row r="65" spans="1:12" x14ac:dyDescent="0.3">
      <c r="A65">
        <v>2</v>
      </c>
      <c r="B65">
        <v>-3</v>
      </c>
      <c r="C65">
        <f t="shared" si="14"/>
        <v>3.6055512754639891</v>
      </c>
      <c r="D65">
        <f>360+DEGREES(ATAN(B65/A65))</f>
        <v>303.69006752597977</v>
      </c>
      <c r="F65" t="str">
        <f t="shared" si="15"/>
        <v>[TestCase(2,-3,3.605551)]</v>
      </c>
      <c r="I65" t="str">
        <f t="shared" si="16"/>
        <v>[TestCase(2,-3,303.690068)]</v>
      </c>
    </row>
    <row r="66" spans="1:12" x14ac:dyDescent="0.3">
      <c r="A66">
        <v>0</v>
      </c>
      <c r="B66">
        <v>0</v>
      </c>
      <c r="C66">
        <f t="shared" si="14"/>
        <v>0</v>
      </c>
      <c r="D66" s="10">
        <v>0</v>
      </c>
      <c r="F66" t="str">
        <f t="shared" si="15"/>
        <v>[TestCase(0,0,0)]</v>
      </c>
      <c r="I66" t="str">
        <f t="shared" si="16"/>
        <v>[TestCase(0,0,0)]</v>
      </c>
    </row>
    <row r="68" spans="1:12" s="2" customFormat="1" x14ac:dyDescent="0.3">
      <c r="A68" s="2" t="s">
        <v>295</v>
      </c>
    </row>
    <row r="69" spans="1:12" s="6" customFormat="1" x14ac:dyDescent="0.3">
      <c r="A69" s="6" t="s">
        <v>9</v>
      </c>
      <c r="B69" s="6" t="s">
        <v>10</v>
      </c>
      <c r="C69" s="6" t="s">
        <v>296</v>
      </c>
      <c r="D69" s="6" t="s">
        <v>297</v>
      </c>
      <c r="E69" s="6" t="s">
        <v>298</v>
      </c>
      <c r="F69" s="6" t="s">
        <v>299</v>
      </c>
      <c r="G69" s="6" t="s">
        <v>300</v>
      </c>
    </row>
    <row r="70" spans="1:12" x14ac:dyDescent="0.3">
      <c r="A70">
        <v>2</v>
      </c>
      <c r="B70">
        <v>3</v>
      </c>
      <c r="C70">
        <v>0</v>
      </c>
      <c r="D70">
        <v>0</v>
      </c>
      <c r="E70">
        <f>A70+C70*COS(RADIANS(D70))</f>
        <v>2</v>
      </c>
      <c r="F70">
        <f>B70+C70*SIN(RADIANS(D70))</f>
        <v>3</v>
      </c>
      <c r="G70" t="s">
        <v>301</v>
      </c>
      <c r="L70" t="str">
        <f>"[TestCase("&amp;A70&amp;","&amp;B70&amp;","&amp;C70&amp;","&amp;D70&amp;","&amp;ROUND(E70,6)&amp;","&amp;ROUND(F70,6)&amp;")]  // "&amp;G70</f>
        <v>[TestCase(2,3,0,0,2,3)]  // No offset</v>
      </c>
    </row>
    <row r="71" spans="1:12" x14ac:dyDescent="0.3">
      <c r="A71">
        <v>2</v>
      </c>
      <c r="B71">
        <v>3</v>
      </c>
      <c r="C71">
        <v>0</v>
      </c>
      <c r="D71">
        <v>45</v>
      </c>
      <c r="E71">
        <f t="shared" ref="E71:E78" si="17">A71+C71*COS(RADIANS(D71))</f>
        <v>2</v>
      </c>
      <c r="F71">
        <f t="shared" ref="F71:F78" si="18">B71+C71*SIN(RADIANS(D71))</f>
        <v>3</v>
      </c>
      <c r="G71" t="s">
        <v>302</v>
      </c>
      <c r="L71" t="str">
        <f t="shared" ref="L71:L74" si="19">"[TestCase("&amp;A71&amp;","&amp;B71&amp;","&amp;C71&amp;","&amp;D71&amp;","&amp;ROUND(E71,6)&amp;","&amp;ROUND(F71,6)&amp;")]  // "&amp;G71</f>
        <v>[TestCase(2,3,0,45,2,3)]  // Rotation of coordinate about itself</v>
      </c>
    </row>
    <row r="72" spans="1:12" x14ac:dyDescent="0.3">
      <c r="A72">
        <v>2</v>
      </c>
      <c r="B72">
        <v>3</v>
      </c>
      <c r="C72">
        <v>0</v>
      </c>
      <c r="D72">
        <v>-45</v>
      </c>
      <c r="E72">
        <f t="shared" si="17"/>
        <v>2</v>
      </c>
      <c r="F72">
        <f t="shared" si="18"/>
        <v>3</v>
      </c>
      <c r="G72" t="s">
        <v>305</v>
      </c>
      <c r="L72" t="str">
        <f t="shared" si="19"/>
        <v>[TestCase(2,3,0,-45,2,3)]  // Negative Rotation of coordinate about itself</v>
      </c>
    </row>
    <row r="73" spans="1:12" x14ac:dyDescent="0.3">
      <c r="A73">
        <v>2</v>
      </c>
      <c r="B73">
        <v>3</v>
      </c>
      <c r="C73">
        <v>1</v>
      </c>
      <c r="D73">
        <v>0</v>
      </c>
      <c r="E73">
        <f t="shared" si="17"/>
        <v>3</v>
      </c>
      <c r="F73">
        <f t="shared" si="18"/>
        <v>3</v>
      </c>
      <c r="G73" t="s">
        <v>303</v>
      </c>
      <c r="L73" t="str">
        <f t="shared" si="19"/>
        <v>[TestCase(2,3,1,0,3,3)]  // Linear offset with default rotation</v>
      </c>
    </row>
    <row r="74" spans="1:12" x14ac:dyDescent="0.3">
      <c r="A74">
        <v>2</v>
      </c>
      <c r="B74">
        <v>3</v>
      </c>
      <c r="C74">
        <v>-1</v>
      </c>
      <c r="D74">
        <v>0</v>
      </c>
      <c r="E74">
        <f t="shared" si="17"/>
        <v>1</v>
      </c>
      <c r="F74">
        <f t="shared" si="18"/>
        <v>3</v>
      </c>
      <c r="G74" t="s">
        <v>304</v>
      </c>
      <c r="L74" t="str">
        <f t="shared" si="19"/>
        <v>[TestCase(2,3,-1,0,1,3)]  // Negative linear offset with default rotation</v>
      </c>
    </row>
    <row r="75" spans="1:12" x14ac:dyDescent="0.3">
      <c r="A75">
        <v>2</v>
      </c>
      <c r="B75">
        <v>3</v>
      </c>
      <c r="C75">
        <v>1</v>
      </c>
      <c r="D75">
        <v>60</v>
      </c>
      <c r="E75">
        <f t="shared" si="17"/>
        <v>2.5</v>
      </c>
      <c r="F75">
        <f t="shared" si="18"/>
        <v>3.8660254037844384</v>
      </c>
      <c r="L75" t="str">
        <f>"[TestCase("&amp;A75&amp;","&amp;B75&amp;","&amp;C75&amp;","&amp;D75&amp;","&amp;ROUND(E75,6)&amp;","&amp;ROUND(F75,6)&amp;")]"</f>
        <v>[TestCase(2,3,1,60,2.5,3.866025)]</v>
      </c>
    </row>
    <row r="76" spans="1:12" x14ac:dyDescent="0.3">
      <c r="A76">
        <v>2</v>
      </c>
      <c r="B76">
        <v>3</v>
      </c>
      <c r="C76">
        <v>-1</v>
      </c>
      <c r="D76">
        <v>60</v>
      </c>
      <c r="E76">
        <f t="shared" si="17"/>
        <v>1.5</v>
      </c>
      <c r="F76">
        <f t="shared" si="18"/>
        <v>2.1339745962155616</v>
      </c>
      <c r="L76" t="str">
        <f t="shared" ref="L76:L78" si="20">"[TestCase("&amp;A76&amp;","&amp;B76&amp;","&amp;C76&amp;","&amp;D76&amp;","&amp;ROUND(E76,6)&amp;","&amp;ROUND(F76,6)&amp;")]"</f>
        <v>[TestCase(2,3,-1,60,1.5,2.133975)]</v>
      </c>
    </row>
    <row r="77" spans="1:12" x14ac:dyDescent="0.3">
      <c r="A77">
        <v>2</v>
      </c>
      <c r="B77">
        <v>3</v>
      </c>
      <c r="C77">
        <v>-1</v>
      </c>
      <c r="D77">
        <v>-60</v>
      </c>
      <c r="E77">
        <f t="shared" si="17"/>
        <v>1.5</v>
      </c>
      <c r="F77">
        <f t="shared" si="18"/>
        <v>3.8660254037844384</v>
      </c>
      <c r="L77" t="str">
        <f t="shared" si="20"/>
        <v>[TestCase(2,3,-1,-60,1.5,3.866025)]</v>
      </c>
    </row>
    <row r="78" spans="1:12" x14ac:dyDescent="0.3">
      <c r="A78">
        <v>2</v>
      </c>
      <c r="B78">
        <v>3</v>
      </c>
      <c r="C78">
        <v>1</v>
      </c>
      <c r="D78">
        <v>-60</v>
      </c>
      <c r="E78">
        <f t="shared" si="17"/>
        <v>2.5</v>
      </c>
      <c r="F78">
        <f t="shared" si="18"/>
        <v>2.1339745962155616</v>
      </c>
      <c r="L78" t="str">
        <f t="shared" si="20"/>
        <v>[TestCase(2,3,1,-60,2.5,2.133975)]</v>
      </c>
    </row>
  </sheetData>
  <pageMargins left="0.7" right="0.7" top="0.75" bottom="0.75" header="0.3" footer="0.3"/>
  <pageSetup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57484-DE77-4489-8505-7605FEA3DB06}">
  <sheetPr codeName="Sheet8"/>
  <dimension ref="A1:O114"/>
  <sheetViews>
    <sheetView topLeftCell="A67" workbookViewId="0">
      <selection activeCell="L83" sqref="L83"/>
    </sheetView>
  </sheetViews>
  <sheetFormatPr defaultRowHeight="14.4" x14ac:dyDescent="0.3"/>
  <cols>
    <col min="14" max="14" width="13" customWidth="1"/>
  </cols>
  <sheetData>
    <row r="1" spans="1:8" s="2" customFormat="1" x14ac:dyDescent="0.3">
      <c r="A1" s="2" t="s">
        <v>59</v>
      </c>
    </row>
    <row r="2" spans="1:8" x14ac:dyDescent="0.3">
      <c r="A2" s="6" t="s">
        <v>60</v>
      </c>
      <c r="B2" s="6" t="s">
        <v>61</v>
      </c>
      <c r="C2" s="6" t="s">
        <v>62</v>
      </c>
      <c r="D2" s="6" t="s">
        <v>63</v>
      </c>
      <c r="E2" s="6" t="s">
        <v>64</v>
      </c>
      <c r="F2" s="6" t="s">
        <v>65</v>
      </c>
    </row>
    <row r="3" spans="1:8" x14ac:dyDescent="0.3">
      <c r="A3">
        <v>0</v>
      </c>
      <c r="B3">
        <v>0</v>
      </c>
      <c r="C3">
        <v>0</v>
      </c>
      <c r="D3">
        <v>0</v>
      </c>
      <c r="E3">
        <f t="shared" ref="E3:F8" si="0">C3-A3</f>
        <v>0</v>
      </c>
      <c r="F3">
        <f t="shared" si="0"/>
        <v>0</v>
      </c>
      <c r="H3" t="str">
        <f>"[TestCase("&amp;A3&amp;", "&amp;B3&amp;", "&amp;C3&amp;", "&amp;D3&amp;", "&amp;E3&amp;", "&amp;F3&amp;")]"</f>
        <v>[TestCase(0, 0, 0, 0, 0, 0)]</v>
      </c>
    </row>
    <row r="4" spans="1:8" x14ac:dyDescent="0.3">
      <c r="A4">
        <v>0</v>
      </c>
      <c r="B4">
        <v>0</v>
      </c>
      <c r="C4">
        <v>1</v>
      </c>
      <c r="D4">
        <v>2</v>
      </c>
      <c r="E4">
        <f t="shared" si="0"/>
        <v>1</v>
      </c>
      <c r="F4">
        <f t="shared" si="0"/>
        <v>2</v>
      </c>
      <c r="H4" t="str">
        <f t="shared" ref="H4:H8" si="1">"[TestCase("&amp;A4&amp;", "&amp;B4&amp;", "&amp;C4&amp;", "&amp;D4&amp;", "&amp;E4&amp;", "&amp;F4&amp;")]"</f>
        <v>[TestCase(0, 0, 1, 2, 1, 2)]</v>
      </c>
    </row>
    <row r="5" spans="1:8" x14ac:dyDescent="0.3">
      <c r="A5">
        <v>1.1000000000000001</v>
      </c>
      <c r="B5">
        <v>2.2999999999999998</v>
      </c>
      <c r="C5">
        <v>3.3</v>
      </c>
      <c r="D5">
        <v>4.4000000000000004</v>
      </c>
      <c r="E5">
        <f t="shared" si="0"/>
        <v>2.1999999999999997</v>
      </c>
      <c r="F5">
        <f t="shared" si="0"/>
        <v>2.1000000000000005</v>
      </c>
      <c r="H5" t="str">
        <f t="shared" si="1"/>
        <v>[TestCase(1.1, 2.3, 3.3, 4.4, 2.2, 2.1)]</v>
      </c>
    </row>
    <row r="6" spans="1:8" x14ac:dyDescent="0.3">
      <c r="A6">
        <v>1.1000000000000001</v>
      </c>
      <c r="B6">
        <v>-2.2999999999999998</v>
      </c>
      <c r="C6">
        <v>-3.3</v>
      </c>
      <c r="D6">
        <v>-4.4000000000000004</v>
      </c>
      <c r="E6">
        <f t="shared" si="0"/>
        <v>-4.4000000000000004</v>
      </c>
      <c r="F6">
        <f t="shared" si="0"/>
        <v>-2.1000000000000005</v>
      </c>
      <c r="H6" t="str">
        <f t="shared" si="1"/>
        <v>[TestCase(1.1, -2.3, -3.3, -4.4, -4.4, -2.1)]</v>
      </c>
    </row>
    <row r="7" spans="1:8" x14ac:dyDescent="0.3">
      <c r="A7">
        <v>-1.1000000000000001</v>
      </c>
      <c r="B7">
        <v>-2.2999999999999998</v>
      </c>
      <c r="C7">
        <v>-3.3</v>
      </c>
      <c r="D7">
        <v>4.4000000000000004</v>
      </c>
      <c r="E7">
        <f t="shared" si="0"/>
        <v>-2.1999999999999997</v>
      </c>
      <c r="F7">
        <f t="shared" si="0"/>
        <v>6.7</v>
      </c>
      <c r="H7" t="str">
        <f t="shared" si="1"/>
        <v>[TestCase(-1.1, -2.3, -3.3, 4.4, -2.2, 6.7)]</v>
      </c>
    </row>
    <row r="8" spans="1:8" x14ac:dyDescent="0.3">
      <c r="A8">
        <v>-1.1000000000000001</v>
      </c>
      <c r="B8">
        <v>-2.2999999999999998</v>
      </c>
      <c r="C8">
        <v>3.3</v>
      </c>
      <c r="D8">
        <v>-4.4000000000000004</v>
      </c>
      <c r="E8">
        <f t="shared" si="0"/>
        <v>4.4000000000000004</v>
      </c>
      <c r="F8">
        <f t="shared" si="0"/>
        <v>-2.1000000000000005</v>
      </c>
      <c r="H8" t="str">
        <f t="shared" si="1"/>
        <v>[TestCase(-1.1, -2.3, 3.3, -4.4, 4.4, -2.1)]</v>
      </c>
    </row>
    <row r="10" spans="1:8" s="2" customFormat="1" x14ac:dyDescent="0.3">
      <c r="A10" s="2" t="s">
        <v>66</v>
      </c>
    </row>
    <row r="11" spans="1:8" x14ac:dyDescent="0.3">
      <c r="A11" s="6" t="s">
        <v>60</v>
      </c>
      <c r="B11" s="6" t="s">
        <v>61</v>
      </c>
      <c r="C11" s="6" t="s">
        <v>62</v>
      </c>
      <c r="D11" s="6" t="s">
        <v>63</v>
      </c>
      <c r="E11" s="6" t="s">
        <v>66</v>
      </c>
    </row>
    <row r="12" spans="1:8" x14ac:dyDescent="0.3">
      <c r="A12">
        <v>0</v>
      </c>
      <c r="B12">
        <v>0</v>
      </c>
      <c r="C12">
        <v>0</v>
      </c>
      <c r="D12">
        <v>0</v>
      </c>
      <c r="E12">
        <f t="shared" ref="E12:E18" si="2">SQRT((C12-A12)^2+(D12-B12)^2)</f>
        <v>0</v>
      </c>
      <c r="H12" t="str">
        <f>"[TestCase("&amp;A12&amp;", "&amp;B12&amp;", "&amp;C12&amp;", "&amp;D12&amp;", "&amp;ROUND(E12,6)&amp;")]"</f>
        <v>[TestCase(0, 0, 0, 0, 0)]</v>
      </c>
    </row>
    <row r="13" spans="1:8" x14ac:dyDescent="0.3">
      <c r="A13">
        <v>0</v>
      </c>
      <c r="B13">
        <v>0</v>
      </c>
      <c r="C13">
        <v>0</v>
      </c>
      <c r="D13">
        <v>1</v>
      </c>
      <c r="E13">
        <f t="shared" si="2"/>
        <v>1</v>
      </c>
      <c r="H13" t="str">
        <f t="shared" ref="H13:H18" si="3">"[TestCase("&amp;A13&amp;", "&amp;B13&amp;", "&amp;C13&amp;", "&amp;D13&amp;", "&amp;ROUND(E13,6)&amp;")]"</f>
        <v>[TestCase(0, 0, 0, 1, 1)]</v>
      </c>
    </row>
    <row r="14" spans="1:8" x14ac:dyDescent="0.3">
      <c r="A14">
        <v>0</v>
      </c>
      <c r="B14">
        <v>0</v>
      </c>
      <c r="C14">
        <v>1</v>
      </c>
      <c r="D14">
        <v>0</v>
      </c>
      <c r="E14">
        <f t="shared" si="2"/>
        <v>1</v>
      </c>
      <c r="H14" t="str">
        <f t="shared" si="3"/>
        <v>[TestCase(0, 0, 1, 0, 1)]</v>
      </c>
    </row>
    <row r="15" spans="1:8" x14ac:dyDescent="0.3">
      <c r="A15">
        <v>1.1000000000000001</v>
      </c>
      <c r="B15">
        <v>2.2999999999999998</v>
      </c>
      <c r="C15">
        <v>3.3</v>
      </c>
      <c r="D15">
        <v>4.4000000000000004</v>
      </c>
      <c r="E15">
        <f t="shared" si="2"/>
        <v>3.0413812651491097</v>
      </c>
      <c r="H15" t="str">
        <f t="shared" si="3"/>
        <v>[TestCase(1.1, 2.3, 3.3, 4.4, 3.041381)]</v>
      </c>
    </row>
    <row r="16" spans="1:8" x14ac:dyDescent="0.3">
      <c r="A16">
        <v>1.1000000000000001</v>
      </c>
      <c r="B16">
        <v>-2.2999999999999998</v>
      </c>
      <c r="C16">
        <v>-3.3</v>
      </c>
      <c r="D16">
        <v>-4.4000000000000004</v>
      </c>
      <c r="E16">
        <f t="shared" si="2"/>
        <v>4.8754486972995625</v>
      </c>
      <c r="H16" t="str">
        <f t="shared" si="3"/>
        <v>[TestCase(1.1, -2.3, -3.3, -4.4, 4.875449)]</v>
      </c>
    </row>
    <row r="17" spans="1:15" x14ac:dyDescent="0.3">
      <c r="A17">
        <v>-1.1000000000000001</v>
      </c>
      <c r="B17">
        <v>-2.2999999999999998</v>
      </c>
      <c r="C17">
        <v>-3.3</v>
      </c>
      <c r="D17">
        <v>4.4000000000000004</v>
      </c>
      <c r="E17">
        <f t="shared" si="2"/>
        <v>7.0519500849055925</v>
      </c>
      <c r="H17" t="str">
        <f t="shared" si="3"/>
        <v>[TestCase(-1.1, -2.3, -3.3, 4.4, 7.05195)]</v>
      </c>
    </row>
    <row r="18" spans="1:15" x14ac:dyDescent="0.3">
      <c r="A18">
        <v>-1.1000000000000001</v>
      </c>
      <c r="B18">
        <v>-2.2999999999999998</v>
      </c>
      <c r="C18">
        <v>3.3</v>
      </c>
      <c r="D18">
        <v>-4.4000000000000004</v>
      </c>
      <c r="E18">
        <f t="shared" si="2"/>
        <v>4.8754486972995625</v>
      </c>
      <c r="H18" t="str">
        <f t="shared" si="3"/>
        <v>[TestCase(-1.1, -2.3, 3.3, -4.4, 4.875449)]</v>
      </c>
    </row>
    <row r="20" spans="1:15" s="2" customFormat="1" x14ac:dyDescent="0.3">
      <c r="A20" s="2" t="s">
        <v>5</v>
      </c>
    </row>
    <row r="21" spans="1:15" s="3" customFormat="1" x14ac:dyDescent="0.3">
      <c r="A21" s="118" t="s">
        <v>72</v>
      </c>
      <c r="B21" s="118"/>
      <c r="C21" s="118"/>
      <c r="D21" s="118"/>
      <c r="E21" s="118" t="s">
        <v>73</v>
      </c>
      <c r="F21" s="118"/>
      <c r="G21" s="118"/>
      <c r="H21" s="118"/>
      <c r="I21" s="118" t="s">
        <v>74</v>
      </c>
      <c r="J21" s="118"/>
      <c r="K21" s="118"/>
      <c r="L21" s="118"/>
    </row>
    <row r="22" spans="1:15" x14ac:dyDescent="0.3">
      <c r="A22" s="6" t="s">
        <v>60</v>
      </c>
      <c r="B22" s="6" t="s">
        <v>61</v>
      </c>
      <c r="C22" s="6" t="s">
        <v>62</v>
      </c>
      <c r="D22" s="6" t="s">
        <v>63</v>
      </c>
      <c r="E22" s="6" t="s">
        <v>60</v>
      </c>
      <c r="F22" s="6" t="s">
        <v>61</v>
      </c>
      <c r="G22" s="6" t="s">
        <v>62</v>
      </c>
      <c r="H22" s="6" t="s">
        <v>63</v>
      </c>
      <c r="I22" s="6" t="s">
        <v>60</v>
      </c>
      <c r="J22" s="6" t="s">
        <v>61</v>
      </c>
      <c r="K22" s="6" t="s">
        <v>62</v>
      </c>
      <c r="L22" s="6" t="s">
        <v>63</v>
      </c>
    </row>
    <row r="23" spans="1:15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f>(C23-A23)+(G23-E23)</f>
        <v>0</v>
      </c>
      <c r="L23">
        <f>(D23-B23)+(H23-F23)</f>
        <v>0</v>
      </c>
      <c r="O23" t="str">
        <f>"[TestCase("&amp;A23&amp;", "&amp;B23&amp;", "&amp;C23&amp;", "&amp;D23&amp;", "&amp;E23&amp;", "&amp;F23&amp;", "&amp;G23&amp;", "&amp;H23&amp;", "&amp;I23&amp;", "&amp;J23&amp;", "&amp;K23&amp;", "&amp;L23&amp;")]"</f>
        <v>[TestCase(0, 0, 0, 0, 0, 0, 0, 0, 0, 0, 0, 0)]</v>
      </c>
    </row>
    <row r="24" spans="1:15" x14ac:dyDescent="0.3">
      <c r="A24">
        <v>1</v>
      </c>
      <c r="B24">
        <v>2</v>
      </c>
      <c r="C24">
        <v>3</v>
      </c>
      <c r="D24">
        <v>4</v>
      </c>
      <c r="E24">
        <v>5</v>
      </c>
      <c r="F24">
        <v>6</v>
      </c>
      <c r="G24">
        <v>7</v>
      </c>
      <c r="H24">
        <v>8</v>
      </c>
      <c r="I24">
        <v>0</v>
      </c>
      <c r="J24">
        <v>0</v>
      </c>
      <c r="K24">
        <f>(C24-A24)+(G24-E24)</f>
        <v>4</v>
      </c>
      <c r="L24">
        <f>(D24-B24)+(H24-F24)</f>
        <v>4</v>
      </c>
      <c r="M24" t="s">
        <v>75</v>
      </c>
      <c r="O24" t="str">
        <f t="shared" ref="O24:O33" si="4">"[TestCase("&amp;A24&amp;", "&amp;B24&amp;", "&amp;C24&amp;", "&amp;D24&amp;", "&amp;E24&amp;", "&amp;F24&amp;", "&amp;G24&amp;", "&amp;H24&amp;", "&amp;I24&amp;", "&amp;J24&amp;", "&amp;K24&amp;", "&amp;L24&amp;")]"</f>
        <v>[TestCase(1, 2, 3, 4, 5, 6, 7, 8, 0, 0, 4, 4)]</v>
      </c>
    </row>
    <row r="25" spans="1:15" x14ac:dyDescent="0.3">
      <c r="A25">
        <v>-1</v>
      </c>
      <c r="B25">
        <v>2</v>
      </c>
      <c r="C25">
        <v>-3</v>
      </c>
      <c r="D25">
        <v>4</v>
      </c>
      <c r="E25">
        <v>-5</v>
      </c>
      <c r="F25">
        <v>6</v>
      </c>
      <c r="G25">
        <v>-7</v>
      </c>
      <c r="H25">
        <v>8</v>
      </c>
      <c r="I25">
        <v>0</v>
      </c>
      <c r="J25">
        <v>0</v>
      </c>
      <c r="K25">
        <f t="shared" ref="K25:K31" si="5">(C25-A25)+(G25-E25)</f>
        <v>-4</v>
      </c>
      <c r="L25">
        <f t="shared" ref="L25:L31" si="6">(D25-B25)+(H25-F25)</f>
        <v>4</v>
      </c>
      <c r="M25" t="s">
        <v>76</v>
      </c>
      <c r="O25" t="str">
        <f t="shared" si="4"/>
        <v>[TestCase(-1, 2, -3, 4, -5, 6, -7, 8, 0, 0, -4, 4)]</v>
      </c>
    </row>
    <row r="26" spans="1:15" x14ac:dyDescent="0.3">
      <c r="A26">
        <v>-1</v>
      </c>
      <c r="B26">
        <v>-2</v>
      </c>
      <c r="C26">
        <v>-3</v>
      </c>
      <c r="D26">
        <v>-4</v>
      </c>
      <c r="E26">
        <v>-5</v>
      </c>
      <c r="F26">
        <v>-6</v>
      </c>
      <c r="G26">
        <v>-7</v>
      </c>
      <c r="H26">
        <v>-8</v>
      </c>
      <c r="I26">
        <v>0</v>
      </c>
      <c r="J26">
        <v>0</v>
      </c>
      <c r="K26">
        <f t="shared" si="5"/>
        <v>-4</v>
      </c>
      <c r="L26">
        <f t="shared" si="6"/>
        <v>-4</v>
      </c>
      <c r="M26" t="s">
        <v>77</v>
      </c>
      <c r="O26" t="str">
        <f t="shared" si="4"/>
        <v>[TestCase(-1, -2, -3, -4, -5, -6, -7, -8, 0, 0, -4, -4)]</v>
      </c>
    </row>
    <row r="27" spans="1:15" x14ac:dyDescent="0.3">
      <c r="A27">
        <v>1</v>
      </c>
      <c r="B27">
        <v>-2</v>
      </c>
      <c r="C27">
        <v>3</v>
      </c>
      <c r="D27">
        <v>-4</v>
      </c>
      <c r="E27">
        <v>5</v>
      </c>
      <c r="F27">
        <v>-6</v>
      </c>
      <c r="G27">
        <v>7</v>
      </c>
      <c r="H27">
        <v>-8</v>
      </c>
      <c r="I27">
        <v>0</v>
      </c>
      <c r="J27">
        <v>0</v>
      </c>
      <c r="K27">
        <f t="shared" si="5"/>
        <v>4</v>
      </c>
      <c r="L27">
        <f t="shared" si="6"/>
        <v>-4</v>
      </c>
      <c r="M27" t="s">
        <v>78</v>
      </c>
      <c r="O27" t="str">
        <f t="shared" si="4"/>
        <v>[TestCase(1, -2, 3, -4, 5, -6, 7, -8, 0, 0, 4, -4)]</v>
      </c>
    </row>
    <row r="28" spans="1:15" x14ac:dyDescent="0.3">
      <c r="A28">
        <v>2</v>
      </c>
      <c r="B28">
        <v>4</v>
      </c>
      <c r="C28">
        <v>3</v>
      </c>
      <c r="D28">
        <v>4</v>
      </c>
      <c r="E28">
        <v>-5</v>
      </c>
      <c r="F28">
        <v>-6</v>
      </c>
      <c r="G28">
        <v>-7</v>
      </c>
      <c r="H28">
        <v>-8</v>
      </c>
      <c r="I28">
        <v>0</v>
      </c>
      <c r="J28">
        <v>0</v>
      </c>
      <c r="K28">
        <f t="shared" si="5"/>
        <v>-1</v>
      </c>
      <c r="L28">
        <f t="shared" si="6"/>
        <v>-2</v>
      </c>
      <c r="M28" t="s">
        <v>88</v>
      </c>
      <c r="O28" t="str">
        <f t="shared" si="4"/>
        <v>[TestCase(2, 4, 3, 4, -5, -6, -7, -8, 0, 0, -1, -2)]</v>
      </c>
    </row>
    <row r="29" spans="1:15" x14ac:dyDescent="0.3">
      <c r="A29">
        <v>2</v>
      </c>
      <c r="B29">
        <v>2</v>
      </c>
      <c r="C29">
        <v>3</v>
      </c>
      <c r="D29">
        <v>4</v>
      </c>
      <c r="E29">
        <v>-5</v>
      </c>
      <c r="F29">
        <v>6</v>
      </c>
      <c r="G29">
        <v>-7</v>
      </c>
      <c r="H29">
        <v>8</v>
      </c>
      <c r="I29">
        <v>0</v>
      </c>
      <c r="J29">
        <v>0</v>
      </c>
      <c r="K29">
        <f t="shared" si="5"/>
        <v>-1</v>
      </c>
      <c r="L29">
        <f t="shared" si="6"/>
        <v>4</v>
      </c>
      <c r="M29" t="s">
        <v>79</v>
      </c>
      <c r="O29" t="str">
        <f t="shared" si="4"/>
        <v>[TestCase(2, 2, 3, 4, -5, 6, -7, 8, 0, 0, -1, 4)]</v>
      </c>
    </row>
    <row r="30" spans="1:15" x14ac:dyDescent="0.3">
      <c r="A30">
        <v>2</v>
      </c>
      <c r="B30">
        <v>4</v>
      </c>
      <c r="C30">
        <v>3</v>
      </c>
      <c r="D30">
        <v>4</v>
      </c>
      <c r="E30">
        <v>5</v>
      </c>
      <c r="F30">
        <v>-6</v>
      </c>
      <c r="G30">
        <v>7</v>
      </c>
      <c r="H30">
        <v>-8</v>
      </c>
      <c r="I30">
        <v>0</v>
      </c>
      <c r="J30">
        <v>0</v>
      </c>
      <c r="K30">
        <f t="shared" si="5"/>
        <v>3</v>
      </c>
      <c r="L30">
        <f t="shared" si="6"/>
        <v>-2</v>
      </c>
      <c r="M30" t="s">
        <v>80</v>
      </c>
      <c r="O30" t="str">
        <f t="shared" si="4"/>
        <v>[TestCase(2, 4, 3, 4, 5, -6, 7, -8, 0, 0, 3, -2)]</v>
      </c>
    </row>
    <row r="31" spans="1:15" x14ac:dyDescent="0.3">
      <c r="A31">
        <v>1</v>
      </c>
      <c r="B31">
        <v>2</v>
      </c>
      <c r="C31">
        <v>3</v>
      </c>
      <c r="D31">
        <v>4</v>
      </c>
      <c r="E31">
        <v>5</v>
      </c>
      <c r="F31">
        <v>6</v>
      </c>
      <c r="G31">
        <v>5</v>
      </c>
      <c r="H31">
        <v>8</v>
      </c>
      <c r="I31">
        <v>0</v>
      </c>
      <c r="J31">
        <v>0</v>
      </c>
      <c r="K31">
        <f t="shared" si="5"/>
        <v>2</v>
      </c>
      <c r="L31">
        <f t="shared" si="6"/>
        <v>4</v>
      </c>
      <c r="M31" t="s">
        <v>82</v>
      </c>
      <c r="O31" t="str">
        <f t="shared" si="4"/>
        <v>[TestCase(1, 2, 3, 4, 5, 6, 5, 8, 0, 0, 2, 4)]</v>
      </c>
    </row>
    <row r="32" spans="1:15" x14ac:dyDescent="0.3">
      <c r="A32">
        <v>1</v>
      </c>
      <c r="B32">
        <v>2</v>
      </c>
      <c r="C32">
        <v>3</v>
      </c>
      <c r="D32">
        <v>4</v>
      </c>
      <c r="E32">
        <v>5</v>
      </c>
      <c r="F32">
        <v>6</v>
      </c>
      <c r="G32">
        <v>4</v>
      </c>
      <c r="H32">
        <v>8</v>
      </c>
      <c r="I32">
        <v>0</v>
      </c>
      <c r="J32">
        <v>0</v>
      </c>
      <c r="K32">
        <f t="shared" ref="K32" si="7">(C32-A32)+(G32-E32)</f>
        <v>1</v>
      </c>
      <c r="L32">
        <f t="shared" ref="L32" si="8">(D32-B32)+(H32-F32)</f>
        <v>4</v>
      </c>
      <c r="M32" t="s">
        <v>81</v>
      </c>
      <c r="O32" t="str">
        <f t="shared" si="4"/>
        <v>[TestCase(1, 2, 3, 4, 5, 6, 4, 8, 0, 0, 1, 4)]</v>
      </c>
    </row>
    <row r="33" spans="1:15" x14ac:dyDescent="0.3">
      <c r="A33">
        <v>1.1000000000000001</v>
      </c>
      <c r="B33">
        <v>2.2000000000000002</v>
      </c>
      <c r="C33">
        <v>3.3</v>
      </c>
      <c r="D33">
        <v>4.4000000000000004</v>
      </c>
      <c r="E33">
        <v>5.5</v>
      </c>
      <c r="F33">
        <v>6.6</v>
      </c>
      <c r="G33">
        <v>7.7</v>
      </c>
      <c r="H33">
        <v>8.8000000000000007</v>
      </c>
      <c r="I33">
        <v>0</v>
      </c>
      <c r="J33">
        <v>0</v>
      </c>
      <c r="K33">
        <f>(C33-A33)+(G33-E33)</f>
        <v>4.4000000000000004</v>
      </c>
      <c r="L33">
        <f>(D33-B33)+(H33-F33)</f>
        <v>4.4000000000000012</v>
      </c>
      <c r="O33" t="str">
        <f t="shared" si="4"/>
        <v>[TestCase(1.1, 2.2, 3.3, 4.4, 5.5, 6.6, 7.7, 8.8, 0, 0, 4.4, 4.4)]</v>
      </c>
    </row>
    <row r="35" spans="1:15" s="2" customFormat="1" x14ac:dyDescent="0.3">
      <c r="A35" s="2" t="s">
        <v>89</v>
      </c>
    </row>
    <row r="36" spans="1:15" s="3" customFormat="1" x14ac:dyDescent="0.3">
      <c r="A36" s="119" t="s">
        <v>84</v>
      </c>
      <c r="B36" s="119"/>
      <c r="C36" s="118" t="s">
        <v>73</v>
      </c>
      <c r="D36" s="118"/>
      <c r="E36" s="118"/>
      <c r="F36" s="118"/>
      <c r="G36" s="119" t="s">
        <v>86</v>
      </c>
      <c r="H36" s="119"/>
      <c r="I36"/>
      <c r="J36"/>
    </row>
    <row r="37" spans="1:15" x14ac:dyDescent="0.3">
      <c r="A37" s="6" t="s">
        <v>60</v>
      </c>
      <c r="B37" s="6" t="s">
        <v>61</v>
      </c>
      <c r="C37" s="6" t="s">
        <v>60</v>
      </c>
      <c r="D37" s="6" t="s">
        <v>61</v>
      </c>
      <c r="E37" s="6" t="s">
        <v>62</v>
      </c>
      <c r="F37" s="6" t="s">
        <v>63</v>
      </c>
      <c r="G37" s="6" t="s">
        <v>60</v>
      </c>
      <c r="H37" s="6" t="s">
        <v>61</v>
      </c>
    </row>
    <row r="38" spans="1:15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f>A38+(E38-C38)</f>
        <v>0</v>
      </c>
      <c r="H38">
        <f>B38+(F38-D38)</f>
        <v>0</v>
      </c>
      <c r="L38" t="str">
        <f>"[TestCase("&amp;A38&amp;", "&amp;B38&amp;", "&amp;C38&amp;", "&amp;D38&amp;", "&amp;E38&amp;", "&amp;F38&amp;", "&amp;G38&amp;", "&amp;H38&amp;")]"</f>
        <v>[TestCase(0, 0, 0, 0, 0, 0, 0, 0)]</v>
      </c>
    </row>
    <row r="39" spans="1:15" x14ac:dyDescent="0.3">
      <c r="A39">
        <v>1</v>
      </c>
      <c r="B39">
        <v>4</v>
      </c>
      <c r="C39">
        <v>5</v>
      </c>
      <c r="D39">
        <v>6</v>
      </c>
      <c r="E39">
        <v>7</v>
      </c>
      <c r="F39">
        <v>8</v>
      </c>
      <c r="G39">
        <f t="shared" ref="G39:G47" si="9">A39+(E39-C39)</f>
        <v>3</v>
      </c>
      <c r="H39">
        <f t="shared" ref="H39:H47" si="10">B39+(F39-D39)</f>
        <v>6</v>
      </c>
      <c r="I39" t="s">
        <v>75</v>
      </c>
      <c r="L39" t="str">
        <f t="shared" ref="L39:L48" si="11">"[TestCase("&amp;A39&amp;", "&amp;B39&amp;", "&amp;C39&amp;", "&amp;D39&amp;", "&amp;E39&amp;", "&amp;F39&amp;", "&amp;G39&amp;", "&amp;H39&amp;")]"</f>
        <v>[TestCase(1, 4, 5, 6, 7, 8, 3, 6)]</v>
      </c>
    </row>
    <row r="40" spans="1:15" x14ac:dyDescent="0.3">
      <c r="A40">
        <v>-1</v>
      </c>
      <c r="B40">
        <v>4</v>
      </c>
      <c r="C40">
        <v>-5</v>
      </c>
      <c r="D40">
        <v>6</v>
      </c>
      <c r="E40">
        <v>-7</v>
      </c>
      <c r="F40">
        <v>8</v>
      </c>
      <c r="G40">
        <f t="shared" si="9"/>
        <v>-3</v>
      </c>
      <c r="H40">
        <f t="shared" si="10"/>
        <v>6</v>
      </c>
      <c r="I40" t="s">
        <v>76</v>
      </c>
      <c r="L40" t="str">
        <f t="shared" si="11"/>
        <v>[TestCase(-1, 4, -5, 6, -7, 8, -3, 6)]</v>
      </c>
    </row>
    <row r="41" spans="1:15" x14ac:dyDescent="0.3">
      <c r="A41">
        <v>-1</v>
      </c>
      <c r="B41">
        <v>-4</v>
      </c>
      <c r="C41">
        <v>-5</v>
      </c>
      <c r="D41">
        <v>-6</v>
      </c>
      <c r="E41">
        <v>-7</v>
      </c>
      <c r="F41">
        <v>-8</v>
      </c>
      <c r="G41">
        <f t="shared" si="9"/>
        <v>-3</v>
      </c>
      <c r="H41">
        <f t="shared" si="10"/>
        <v>-6</v>
      </c>
      <c r="I41" t="s">
        <v>77</v>
      </c>
      <c r="L41" t="str">
        <f t="shared" si="11"/>
        <v>[TestCase(-1, -4, -5, -6, -7, -8, -3, -6)]</v>
      </c>
    </row>
    <row r="42" spans="1:15" x14ac:dyDescent="0.3">
      <c r="A42">
        <v>1</v>
      </c>
      <c r="B42">
        <v>-4</v>
      </c>
      <c r="C42">
        <v>5</v>
      </c>
      <c r="D42">
        <v>-6</v>
      </c>
      <c r="E42">
        <v>7</v>
      </c>
      <c r="F42">
        <v>-8</v>
      </c>
      <c r="G42">
        <f t="shared" si="9"/>
        <v>3</v>
      </c>
      <c r="H42">
        <f t="shared" si="10"/>
        <v>-6</v>
      </c>
      <c r="I42" t="s">
        <v>78</v>
      </c>
      <c r="L42" t="str">
        <f t="shared" si="11"/>
        <v>[TestCase(1, -4, 5, -6, 7, -8, 3, -6)]</v>
      </c>
    </row>
    <row r="43" spans="1:15" x14ac:dyDescent="0.3">
      <c r="A43">
        <v>1</v>
      </c>
      <c r="B43">
        <v>4</v>
      </c>
      <c r="C43">
        <v>-5</v>
      </c>
      <c r="D43">
        <v>-6</v>
      </c>
      <c r="E43">
        <v>-7</v>
      </c>
      <c r="F43">
        <v>-8</v>
      </c>
      <c r="G43">
        <f t="shared" si="9"/>
        <v>-1</v>
      </c>
      <c r="H43">
        <f t="shared" si="10"/>
        <v>2</v>
      </c>
      <c r="I43" t="s">
        <v>88</v>
      </c>
      <c r="L43" t="str">
        <f t="shared" si="11"/>
        <v>[TestCase(1, 4, -5, -6, -7, -8, -1, 2)]</v>
      </c>
    </row>
    <row r="44" spans="1:15" x14ac:dyDescent="0.3">
      <c r="A44">
        <v>1</v>
      </c>
      <c r="B44">
        <v>4</v>
      </c>
      <c r="C44">
        <v>-5</v>
      </c>
      <c r="D44">
        <v>6</v>
      </c>
      <c r="E44">
        <v>-7</v>
      </c>
      <c r="F44">
        <v>8</v>
      </c>
      <c r="G44">
        <f t="shared" si="9"/>
        <v>-1</v>
      </c>
      <c r="H44">
        <f t="shared" si="10"/>
        <v>6</v>
      </c>
      <c r="I44" t="s">
        <v>79</v>
      </c>
      <c r="L44" t="str">
        <f t="shared" si="11"/>
        <v>[TestCase(1, 4, -5, 6, -7, 8, -1, 6)]</v>
      </c>
    </row>
    <row r="45" spans="1:15" x14ac:dyDescent="0.3">
      <c r="A45">
        <v>1</v>
      </c>
      <c r="B45">
        <v>4</v>
      </c>
      <c r="C45">
        <v>5</v>
      </c>
      <c r="D45">
        <v>-6</v>
      </c>
      <c r="E45">
        <v>7</v>
      </c>
      <c r="F45">
        <v>-8</v>
      </c>
      <c r="G45">
        <f t="shared" si="9"/>
        <v>3</v>
      </c>
      <c r="H45">
        <f t="shared" si="10"/>
        <v>2</v>
      </c>
      <c r="I45" t="s">
        <v>80</v>
      </c>
      <c r="L45" t="str">
        <f t="shared" si="11"/>
        <v>[TestCase(1, 4, 5, -6, 7, -8, 3, 2)]</v>
      </c>
    </row>
    <row r="46" spans="1:15" x14ac:dyDescent="0.3">
      <c r="A46">
        <v>1</v>
      </c>
      <c r="B46">
        <v>4</v>
      </c>
      <c r="C46">
        <v>5</v>
      </c>
      <c r="D46">
        <v>6</v>
      </c>
      <c r="E46">
        <v>5</v>
      </c>
      <c r="F46">
        <v>8</v>
      </c>
      <c r="G46">
        <f t="shared" si="9"/>
        <v>1</v>
      </c>
      <c r="H46">
        <f t="shared" si="10"/>
        <v>6</v>
      </c>
      <c r="I46" t="s">
        <v>82</v>
      </c>
      <c r="L46" t="str">
        <f t="shared" si="11"/>
        <v>[TestCase(1, 4, 5, 6, 5, 8, 1, 6)]</v>
      </c>
    </row>
    <row r="47" spans="1:15" x14ac:dyDescent="0.3">
      <c r="A47">
        <v>1</v>
      </c>
      <c r="B47">
        <v>4</v>
      </c>
      <c r="C47">
        <v>5</v>
      </c>
      <c r="D47">
        <v>6</v>
      </c>
      <c r="E47">
        <v>4</v>
      </c>
      <c r="F47">
        <v>8</v>
      </c>
      <c r="G47">
        <f t="shared" si="9"/>
        <v>0</v>
      </c>
      <c r="H47">
        <f t="shared" si="10"/>
        <v>6</v>
      </c>
      <c r="I47" t="s">
        <v>81</v>
      </c>
      <c r="L47" t="str">
        <f t="shared" si="11"/>
        <v>[TestCase(1, 4, 5, 6, 4, 8, 0, 6)]</v>
      </c>
    </row>
    <row r="48" spans="1:15" x14ac:dyDescent="0.3">
      <c r="A48">
        <v>3.2</v>
      </c>
      <c r="B48">
        <v>4.4000000000000004</v>
      </c>
      <c r="C48">
        <v>5.5</v>
      </c>
      <c r="D48">
        <v>6.6</v>
      </c>
      <c r="E48">
        <v>4.4000000000000004</v>
      </c>
      <c r="F48">
        <v>8.8000000000000007</v>
      </c>
      <c r="G48">
        <f>A48+(E48-C48)</f>
        <v>2.1000000000000005</v>
      </c>
      <c r="H48">
        <f t="shared" ref="H48" si="12">B48+(F48-D48)</f>
        <v>6.6000000000000014</v>
      </c>
      <c r="L48" t="str">
        <f t="shared" si="11"/>
        <v>[TestCase(3.2, 4.4, 5.5, 6.6, 4.4, 8.8, 2.1, 6.6)]</v>
      </c>
    </row>
    <row r="50" spans="1:15" s="2" customFormat="1" x14ac:dyDescent="0.3">
      <c r="A50" s="2" t="s">
        <v>6</v>
      </c>
    </row>
    <row r="51" spans="1:15" s="3" customFormat="1" x14ac:dyDescent="0.3">
      <c r="A51" s="118" t="s">
        <v>72</v>
      </c>
      <c r="B51" s="118"/>
      <c r="C51" s="118"/>
      <c r="D51" s="118"/>
      <c r="E51" s="118" t="s">
        <v>73</v>
      </c>
      <c r="F51" s="118"/>
      <c r="G51" s="118"/>
      <c r="H51" s="118"/>
      <c r="I51" s="118" t="s">
        <v>74</v>
      </c>
      <c r="J51" s="118"/>
      <c r="K51" s="118"/>
      <c r="L51" s="118"/>
    </row>
    <row r="52" spans="1:15" x14ac:dyDescent="0.3">
      <c r="A52" s="6" t="s">
        <v>60</v>
      </c>
      <c r="B52" s="6" t="s">
        <v>61</v>
      </c>
      <c r="C52" s="6" t="s">
        <v>62</v>
      </c>
      <c r="D52" s="6" t="s">
        <v>63</v>
      </c>
      <c r="E52" s="6" t="s">
        <v>60</v>
      </c>
      <c r="F52" s="6" t="s">
        <v>61</v>
      </c>
      <c r="G52" s="6" t="s">
        <v>62</v>
      </c>
      <c r="H52" s="6" t="s">
        <v>63</v>
      </c>
      <c r="I52" s="6" t="s">
        <v>60</v>
      </c>
      <c r="J52" s="6" t="s">
        <v>61</v>
      </c>
      <c r="K52" s="6" t="s">
        <v>62</v>
      </c>
      <c r="L52" s="6" t="s">
        <v>63</v>
      </c>
    </row>
    <row r="53" spans="1:15" x14ac:dyDescent="0.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f>(C53-A53)-(G53-E53)</f>
        <v>0</v>
      </c>
      <c r="L53">
        <f>(D53-B53)-(H53-F53)</f>
        <v>0</v>
      </c>
      <c r="O53" t="str">
        <f>"[TestCase("&amp;A53&amp;", "&amp;B53&amp;", "&amp;C53&amp;", "&amp;D53&amp;", "&amp;E53&amp;", "&amp;F53&amp;", "&amp;G53&amp;", "&amp;H53&amp;", "&amp;I53&amp;", "&amp;J53&amp;", "&amp;K53&amp;", "&amp;L53&amp;")]"</f>
        <v>[TestCase(0, 0, 0, 0, 0, 0, 0, 0, 0, 0, 0, 0)]</v>
      </c>
    </row>
    <row r="54" spans="1:15" x14ac:dyDescent="0.3">
      <c r="A54">
        <v>2</v>
      </c>
      <c r="B54">
        <v>4</v>
      </c>
      <c r="C54">
        <v>3</v>
      </c>
      <c r="D54">
        <v>4</v>
      </c>
      <c r="E54">
        <v>5</v>
      </c>
      <c r="F54">
        <v>6</v>
      </c>
      <c r="G54">
        <v>7</v>
      </c>
      <c r="H54">
        <v>8</v>
      </c>
      <c r="I54">
        <v>0</v>
      </c>
      <c r="J54">
        <v>0</v>
      </c>
      <c r="K54">
        <f t="shared" ref="K54:K62" si="13">(C54-A54)-(G54-E54)</f>
        <v>-1</v>
      </c>
      <c r="L54">
        <f t="shared" ref="L54:L62" si="14">(D54-B54)-(H54-F54)</f>
        <v>-2</v>
      </c>
      <c r="M54" t="s">
        <v>75</v>
      </c>
      <c r="O54" t="str">
        <f t="shared" ref="O54:O62" si="15">"[TestCase("&amp;A54&amp;", "&amp;B54&amp;", "&amp;C54&amp;", "&amp;D54&amp;", "&amp;E54&amp;", "&amp;F54&amp;", "&amp;G54&amp;", "&amp;H54&amp;", "&amp;I54&amp;", "&amp;J54&amp;", "&amp;K54&amp;", "&amp;L54&amp;")]"</f>
        <v>[TestCase(2, 4, 3, 4, 5, 6, 7, 8, 0, 0, -1, -2)]</v>
      </c>
    </row>
    <row r="55" spans="1:15" x14ac:dyDescent="0.3">
      <c r="A55">
        <v>-2</v>
      </c>
      <c r="B55">
        <v>4</v>
      </c>
      <c r="C55">
        <v>-3</v>
      </c>
      <c r="D55">
        <v>4</v>
      </c>
      <c r="E55">
        <v>-5</v>
      </c>
      <c r="F55">
        <v>6</v>
      </c>
      <c r="G55">
        <v>-7</v>
      </c>
      <c r="H55">
        <v>8</v>
      </c>
      <c r="I55">
        <v>0</v>
      </c>
      <c r="J55">
        <v>0</v>
      </c>
      <c r="K55">
        <f t="shared" si="13"/>
        <v>1</v>
      </c>
      <c r="L55">
        <f t="shared" si="14"/>
        <v>-2</v>
      </c>
      <c r="M55" t="s">
        <v>76</v>
      </c>
      <c r="O55" t="str">
        <f t="shared" si="15"/>
        <v>[TestCase(-2, 4, -3, 4, -5, 6, -7, 8, 0, 0, 1, -2)]</v>
      </c>
    </row>
    <row r="56" spans="1:15" x14ac:dyDescent="0.3">
      <c r="A56">
        <v>-2</v>
      </c>
      <c r="B56">
        <v>-4</v>
      </c>
      <c r="C56">
        <v>-3</v>
      </c>
      <c r="D56">
        <v>-4</v>
      </c>
      <c r="E56">
        <v>-5</v>
      </c>
      <c r="F56">
        <v>-6</v>
      </c>
      <c r="G56">
        <v>-7</v>
      </c>
      <c r="H56">
        <v>-8</v>
      </c>
      <c r="I56">
        <v>0</v>
      </c>
      <c r="J56">
        <v>0</v>
      </c>
      <c r="K56">
        <f t="shared" si="13"/>
        <v>1</v>
      </c>
      <c r="L56">
        <f t="shared" si="14"/>
        <v>2</v>
      </c>
      <c r="M56" t="s">
        <v>77</v>
      </c>
      <c r="O56" t="str">
        <f t="shared" si="15"/>
        <v>[TestCase(-2, -4, -3, -4, -5, -6, -7, -8, 0, 0, 1, 2)]</v>
      </c>
    </row>
    <row r="57" spans="1:15" x14ac:dyDescent="0.3">
      <c r="A57">
        <v>2</v>
      </c>
      <c r="B57">
        <v>-4</v>
      </c>
      <c r="C57">
        <v>3</v>
      </c>
      <c r="D57">
        <v>-4</v>
      </c>
      <c r="E57">
        <v>5</v>
      </c>
      <c r="F57">
        <v>-6</v>
      </c>
      <c r="G57">
        <v>7</v>
      </c>
      <c r="H57">
        <v>-8</v>
      </c>
      <c r="I57">
        <v>0</v>
      </c>
      <c r="J57">
        <v>0</v>
      </c>
      <c r="K57">
        <f t="shared" si="13"/>
        <v>-1</v>
      </c>
      <c r="L57">
        <f t="shared" si="14"/>
        <v>2</v>
      </c>
      <c r="M57" t="s">
        <v>78</v>
      </c>
      <c r="O57" t="str">
        <f t="shared" si="15"/>
        <v>[TestCase(2, -4, 3, -4, 5, -6, 7, -8, 0, 0, -1, 2)]</v>
      </c>
    </row>
    <row r="58" spans="1:15" x14ac:dyDescent="0.3">
      <c r="A58">
        <v>2</v>
      </c>
      <c r="B58">
        <v>4</v>
      </c>
      <c r="C58">
        <v>3</v>
      </c>
      <c r="D58">
        <v>4</v>
      </c>
      <c r="E58">
        <v>-5</v>
      </c>
      <c r="F58">
        <v>-6</v>
      </c>
      <c r="G58">
        <v>-7</v>
      </c>
      <c r="H58">
        <v>-8</v>
      </c>
      <c r="I58">
        <v>0</v>
      </c>
      <c r="J58">
        <v>0</v>
      </c>
      <c r="K58">
        <f t="shared" si="13"/>
        <v>3</v>
      </c>
      <c r="L58">
        <f t="shared" si="14"/>
        <v>2</v>
      </c>
      <c r="M58" t="s">
        <v>88</v>
      </c>
      <c r="O58" t="str">
        <f t="shared" si="15"/>
        <v>[TestCase(2, 4, 3, 4, -5, -6, -7, -8, 0, 0, 3, 2)]</v>
      </c>
    </row>
    <row r="59" spans="1:15" x14ac:dyDescent="0.3">
      <c r="A59">
        <v>1</v>
      </c>
      <c r="B59">
        <v>4</v>
      </c>
      <c r="C59">
        <v>3</v>
      </c>
      <c r="D59">
        <v>4</v>
      </c>
      <c r="E59">
        <v>-5</v>
      </c>
      <c r="F59">
        <v>6</v>
      </c>
      <c r="G59">
        <v>-7</v>
      </c>
      <c r="H59">
        <v>8</v>
      </c>
      <c r="I59">
        <v>0</v>
      </c>
      <c r="J59">
        <v>0</v>
      </c>
      <c r="K59">
        <f t="shared" si="13"/>
        <v>4</v>
      </c>
      <c r="L59">
        <f t="shared" si="14"/>
        <v>-2</v>
      </c>
      <c r="M59" t="s">
        <v>79</v>
      </c>
      <c r="O59" t="str">
        <f t="shared" si="15"/>
        <v>[TestCase(1, 4, 3, 4, -5, 6, -7, 8, 0, 0, 4, -2)]</v>
      </c>
    </row>
    <row r="60" spans="1:15" x14ac:dyDescent="0.3">
      <c r="A60">
        <v>2</v>
      </c>
      <c r="B60">
        <v>4</v>
      </c>
      <c r="C60">
        <v>3</v>
      </c>
      <c r="D60">
        <v>4</v>
      </c>
      <c r="E60">
        <v>5</v>
      </c>
      <c r="F60">
        <v>-6</v>
      </c>
      <c r="G60">
        <v>7</v>
      </c>
      <c r="H60">
        <v>-8</v>
      </c>
      <c r="I60">
        <v>0</v>
      </c>
      <c r="J60">
        <v>0</v>
      </c>
      <c r="K60">
        <f t="shared" si="13"/>
        <v>-1</v>
      </c>
      <c r="L60">
        <f t="shared" si="14"/>
        <v>2</v>
      </c>
      <c r="M60" t="s">
        <v>80</v>
      </c>
      <c r="O60" t="str">
        <f t="shared" si="15"/>
        <v>[TestCase(2, 4, 3, 4, 5, -6, 7, -8, 0, 0, -1, 2)]</v>
      </c>
    </row>
    <row r="61" spans="1:15" x14ac:dyDescent="0.3">
      <c r="A61">
        <v>1</v>
      </c>
      <c r="B61">
        <v>4</v>
      </c>
      <c r="C61">
        <v>3</v>
      </c>
      <c r="D61">
        <v>4</v>
      </c>
      <c r="E61">
        <v>5</v>
      </c>
      <c r="F61">
        <v>6</v>
      </c>
      <c r="G61">
        <v>5</v>
      </c>
      <c r="H61">
        <v>8</v>
      </c>
      <c r="I61">
        <v>0</v>
      </c>
      <c r="J61">
        <v>0</v>
      </c>
      <c r="K61">
        <f t="shared" si="13"/>
        <v>2</v>
      </c>
      <c r="L61">
        <f t="shared" si="14"/>
        <v>-2</v>
      </c>
      <c r="M61" t="s">
        <v>82</v>
      </c>
      <c r="O61" t="str">
        <f t="shared" si="15"/>
        <v>[TestCase(1, 4, 3, 4, 5, 6, 5, 8, 0, 0, 2, -2)]</v>
      </c>
    </row>
    <row r="62" spans="1:15" x14ac:dyDescent="0.3">
      <c r="A62">
        <v>1</v>
      </c>
      <c r="B62">
        <v>4</v>
      </c>
      <c r="C62">
        <v>3</v>
      </c>
      <c r="D62">
        <v>4</v>
      </c>
      <c r="E62">
        <v>5</v>
      </c>
      <c r="F62">
        <v>6</v>
      </c>
      <c r="G62">
        <v>4</v>
      </c>
      <c r="H62">
        <v>8</v>
      </c>
      <c r="I62">
        <v>0</v>
      </c>
      <c r="J62">
        <v>0</v>
      </c>
      <c r="K62">
        <f t="shared" si="13"/>
        <v>3</v>
      </c>
      <c r="L62">
        <f t="shared" si="14"/>
        <v>-2</v>
      </c>
      <c r="M62" t="s">
        <v>81</v>
      </c>
      <c r="O62" t="str">
        <f t="shared" si="15"/>
        <v>[TestCase(1, 4, 3, 4, 5, 6, 4, 8, 0, 0, 3, -2)]</v>
      </c>
    </row>
    <row r="63" spans="1:15" x14ac:dyDescent="0.3">
      <c r="A63">
        <v>1.1000000000000001</v>
      </c>
      <c r="B63">
        <v>2.2999999999999998</v>
      </c>
      <c r="C63">
        <v>2.6</v>
      </c>
      <c r="D63">
        <v>4.7</v>
      </c>
      <c r="E63">
        <v>5.9</v>
      </c>
      <c r="F63">
        <v>6.6</v>
      </c>
      <c r="G63">
        <v>7.7</v>
      </c>
      <c r="H63">
        <v>8.8000000000000007</v>
      </c>
      <c r="I63">
        <v>0</v>
      </c>
      <c r="J63">
        <v>0</v>
      </c>
      <c r="K63">
        <f t="shared" ref="K63" si="16">(C63-A63)-(G63-E63)</f>
        <v>-0.29999999999999982</v>
      </c>
      <c r="L63">
        <f t="shared" ref="L63" si="17">(D63-B63)-(H63-F63)</f>
        <v>0.19999999999999929</v>
      </c>
      <c r="O63" t="str">
        <f>"[TestCase("&amp;A63&amp;", "&amp;B63&amp;", "&amp;C63&amp;", "&amp;D63&amp;", "&amp;E63&amp;", "&amp;F63&amp;", "&amp;G63&amp;", "&amp;H63&amp;", "&amp;I63&amp;", "&amp;J63&amp;", "&amp;K63&amp;", "&amp;ROUND(L63,6)&amp;")]"</f>
        <v>[TestCase(1.1, 2.3, 2.6, 4.7, 5.9, 6.6, 7.7, 8.8, 0, 0, -0.3, 0.2)]</v>
      </c>
    </row>
    <row r="64" spans="1:15" ht="13.8" customHeight="1" x14ac:dyDescent="0.3"/>
    <row r="65" spans="1:12" s="2" customFormat="1" x14ac:dyDescent="0.3">
      <c r="A65" s="2" t="s">
        <v>83</v>
      </c>
    </row>
    <row r="66" spans="1:12" x14ac:dyDescent="0.3">
      <c r="A66" s="119" t="s">
        <v>84</v>
      </c>
      <c r="B66" s="119"/>
      <c r="C66" s="118" t="s">
        <v>85</v>
      </c>
      <c r="D66" s="118"/>
      <c r="E66" s="118"/>
      <c r="F66" s="118"/>
      <c r="G66" s="119" t="s">
        <v>86</v>
      </c>
      <c r="H66" s="119"/>
    </row>
    <row r="67" spans="1:12" x14ac:dyDescent="0.3">
      <c r="A67" s="6" t="s">
        <v>60</v>
      </c>
      <c r="B67" s="6" t="s">
        <v>61</v>
      </c>
      <c r="C67" s="6" t="s">
        <v>60</v>
      </c>
      <c r="D67" s="6" t="s">
        <v>61</v>
      </c>
      <c r="E67" s="6" t="s">
        <v>62</v>
      </c>
      <c r="F67" s="6" t="s">
        <v>63</v>
      </c>
      <c r="G67" s="6" t="s">
        <v>60</v>
      </c>
      <c r="H67" s="6" t="s">
        <v>61</v>
      </c>
    </row>
    <row r="68" spans="1:12" x14ac:dyDescent="0.3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f>A68-(E68-C68)</f>
        <v>0</v>
      </c>
      <c r="H68">
        <f>B68-(F68-D68)</f>
        <v>0</v>
      </c>
      <c r="L68" t="str">
        <f>"[TestCase("&amp;A68&amp;", "&amp;B68&amp;", "&amp;C68&amp;", "&amp;D68&amp;", "&amp;E68&amp;", "&amp;F68&amp;", "&amp;G68&amp;", "&amp;H68&amp;")]"</f>
        <v>[TestCase(0, 0, 0, 0, 0, 0, 0, 0)]</v>
      </c>
    </row>
    <row r="69" spans="1:12" x14ac:dyDescent="0.3">
      <c r="A69">
        <v>1</v>
      </c>
      <c r="B69">
        <v>4</v>
      </c>
      <c r="C69">
        <v>5</v>
      </c>
      <c r="D69">
        <v>6</v>
      </c>
      <c r="E69">
        <v>7</v>
      </c>
      <c r="F69">
        <v>8</v>
      </c>
      <c r="G69">
        <f t="shared" ref="G69:G77" si="18">A69-(E69-C69)</f>
        <v>-1</v>
      </c>
      <c r="H69">
        <f t="shared" ref="H69:H77" si="19">B69-(F69-D69)</f>
        <v>2</v>
      </c>
      <c r="I69" t="s">
        <v>75</v>
      </c>
      <c r="L69" t="str">
        <f t="shared" ref="L69:L78" si="20">"[TestCase("&amp;A69&amp;", "&amp;B69&amp;", "&amp;C69&amp;", "&amp;D69&amp;", "&amp;E69&amp;", "&amp;F69&amp;", "&amp;G69&amp;", "&amp;H69&amp;")]"</f>
        <v>[TestCase(1, 4, 5, 6, 7, 8, -1, 2)]</v>
      </c>
    </row>
    <row r="70" spans="1:12" x14ac:dyDescent="0.3">
      <c r="A70">
        <v>-1</v>
      </c>
      <c r="B70">
        <v>4</v>
      </c>
      <c r="C70">
        <v>-5</v>
      </c>
      <c r="D70">
        <v>6</v>
      </c>
      <c r="E70">
        <v>-7</v>
      </c>
      <c r="F70">
        <v>8</v>
      </c>
      <c r="G70">
        <f t="shared" si="18"/>
        <v>1</v>
      </c>
      <c r="H70">
        <f t="shared" si="19"/>
        <v>2</v>
      </c>
      <c r="I70" t="s">
        <v>76</v>
      </c>
      <c r="L70" t="str">
        <f t="shared" si="20"/>
        <v>[TestCase(-1, 4, -5, 6, -7, 8, 1, 2)]</v>
      </c>
    </row>
    <row r="71" spans="1:12" x14ac:dyDescent="0.3">
      <c r="A71">
        <v>-1</v>
      </c>
      <c r="B71">
        <v>-4</v>
      </c>
      <c r="C71">
        <v>-5</v>
      </c>
      <c r="D71">
        <v>-6</v>
      </c>
      <c r="E71">
        <v>-7</v>
      </c>
      <c r="F71">
        <v>-8</v>
      </c>
      <c r="G71">
        <f t="shared" si="18"/>
        <v>1</v>
      </c>
      <c r="H71">
        <f t="shared" si="19"/>
        <v>-2</v>
      </c>
      <c r="I71" t="s">
        <v>77</v>
      </c>
      <c r="L71" t="str">
        <f t="shared" si="20"/>
        <v>[TestCase(-1, -4, -5, -6, -7, -8, 1, -2)]</v>
      </c>
    </row>
    <row r="72" spans="1:12" x14ac:dyDescent="0.3">
      <c r="A72">
        <v>1</v>
      </c>
      <c r="B72">
        <v>-4</v>
      </c>
      <c r="C72">
        <v>5</v>
      </c>
      <c r="D72">
        <v>-6</v>
      </c>
      <c r="E72">
        <v>7</v>
      </c>
      <c r="F72">
        <v>-8</v>
      </c>
      <c r="G72">
        <f t="shared" si="18"/>
        <v>-1</v>
      </c>
      <c r="H72">
        <f t="shared" si="19"/>
        <v>-2</v>
      </c>
      <c r="I72" t="s">
        <v>78</v>
      </c>
      <c r="L72" t="str">
        <f t="shared" si="20"/>
        <v>[TestCase(1, -4, 5, -6, 7, -8, -1, -2)]</v>
      </c>
    </row>
    <row r="73" spans="1:12" x14ac:dyDescent="0.3">
      <c r="A73">
        <v>1</v>
      </c>
      <c r="B73">
        <v>4</v>
      </c>
      <c r="C73">
        <v>-5</v>
      </c>
      <c r="D73">
        <v>-6</v>
      </c>
      <c r="E73">
        <v>-7</v>
      </c>
      <c r="F73">
        <v>-8</v>
      </c>
      <c r="G73">
        <f t="shared" si="18"/>
        <v>3</v>
      </c>
      <c r="H73">
        <f t="shared" si="19"/>
        <v>6</v>
      </c>
      <c r="I73" t="s">
        <v>88</v>
      </c>
      <c r="L73" t="str">
        <f t="shared" si="20"/>
        <v>[TestCase(1, 4, -5, -6, -7, -8, 3, 6)]</v>
      </c>
    </row>
    <row r="74" spans="1:12" x14ac:dyDescent="0.3">
      <c r="A74">
        <v>1</v>
      </c>
      <c r="B74">
        <v>4</v>
      </c>
      <c r="C74">
        <v>-5</v>
      </c>
      <c r="D74">
        <v>6</v>
      </c>
      <c r="E74">
        <v>-7</v>
      </c>
      <c r="F74">
        <v>8</v>
      </c>
      <c r="G74">
        <f t="shared" si="18"/>
        <v>3</v>
      </c>
      <c r="H74">
        <f t="shared" si="19"/>
        <v>2</v>
      </c>
      <c r="I74" t="s">
        <v>79</v>
      </c>
      <c r="L74" t="str">
        <f t="shared" si="20"/>
        <v>[TestCase(1, 4, -5, 6, -7, 8, 3, 2)]</v>
      </c>
    </row>
    <row r="75" spans="1:12" x14ac:dyDescent="0.3">
      <c r="A75">
        <v>1</v>
      </c>
      <c r="B75">
        <v>4</v>
      </c>
      <c r="C75">
        <v>5</v>
      </c>
      <c r="D75">
        <v>-6</v>
      </c>
      <c r="E75">
        <v>7</v>
      </c>
      <c r="F75">
        <v>-8</v>
      </c>
      <c r="G75">
        <f t="shared" si="18"/>
        <v>-1</v>
      </c>
      <c r="H75">
        <f t="shared" si="19"/>
        <v>6</v>
      </c>
      <c r="I75" t="s">
        <v>80</v>
      </c>
      <c r="L75" t="str">
        <f t="shared" si="20"/>
        <v>[TestCase(1, 4, 5, -6, 7, -8, -1, 6)]</v>
      </c>
    </row>
    <row r="76" spans="1:12" x14ac:dyDescent="0.3">
      <c r="A76">
        <v>1</v>
      </c>
      <c r="B76">
        <v>4</v>
      </c>
      <c r="C76">
        <v>5</v>
      </c>
      <c r="D76">
        <v>6</v>
      </c>
      <c r="E76">
        <v>5</v>
      </c>
      <c r="F76">
        <v>8</v>
      </c>
      <c r="G76">
        <f t="shared" si="18"/>
        <v>1</v>
      </c>
      <c r="H76">
        <f t="shared" si="19"/>
        <v>2</v>
      </c>
      <c r="I76" t="s">
        <v>82</v>
      </c>
      <c r="L76" t="str">
        <f t="shared" si="20"/>
        <v>[TestCase(1, 4, 5, 6, 5, 8, 1, 2)]</v>
      </c>
    </row>
    <row r="77" spans="1:12" x14ac:dyDescent="0.3">
      <c r="A77">
        <v>1</v>
      </c>
      <c r="B77">
        <v>4</v>
      </c>
      <c r="C77">
        <v>5</v>
      </c>
      <c r="D77">
        <v>6</v>
      </c>
      <c r="E77">
        <v>4</v>
      </c>
      <c r="F77">
        <v>8</v>
      </c>
      <c r="G77">
        <f t="shared" si="18"/>
        <v>2</v>
      </c>
      <c r="H77">
        <f t="shared" si="19"/>
        <v>2</v>
      </c>
      <c r="I77" t="s">
        <v>81</v>
      </c>
      <c r="L77" t="str">
        <f t="shared" si="20"/>
        <v>[TestCase(1, 4, 5, 6, 4, 8, 2, 2)]</v>
      </c>
    </row>
    <row r="78" spans="1:12" x14ac:dyDescent="0.3">
      <c r="A78">
        <v>1.1000000000000001</v>
      </c>
      <c r="B78">
        <v>4.4000000000000004</v>
      </c>
      <c r="C78">
        <v>5.5</v>
      </c>
      <c r="D78">
        <v>6.6</v>
      </c>
      <c r="E78">
        <v>4.4000000000000004</v>
      </c>
      <c r="F78">
        <v>8.1</v>
      </c>
      <c r="G78">
        <f t="shared" ref="G78" si="21">A78-(E78-C78)</f>
        <v>2.1999999999999997</v>
      </c>
      <c r="H78">
        <f t="shared" ref="H78" si="22">B78-(F78-D78)</f>
        <v>2.9000000000000004</v>
      </c>
      <c r="L78" t="str">
        <f t="shared" si="20"/>
        <v>[TestCase(1.1, 4.4, 5.5, 6.6, 4.4, 8.1, 2.2, 2.9)]</v>
      </c>
    </row>
    <row r="80" spans="1:12" s="2" customFormat="1" x14ac:dyDescent="0.3">
      <c r="A80" s="2" t="s">
        <v>87</v>
      </c>
    </row>
    <row r="81" spans="1:12" x14ac:dyDescent="0.3">
      <c r="A81" s="119" t="s">
        <v>84</v>
      </c>
      <c r="B81" s="119"/>
      <c r="C81" s="118" t="s">
        <v>85</v>
      </c>
      <c r="D81" s="118"/>
      <c r="E81" s="118"/>
      <c r="F81" s="118"/>
      <c r="G81" s="119" t="s">
        <v>86</v>
      </c>
      <c r="H81" s="119"/>
    </row>
    <row r="82" spans="1:12" x14ac:dyDescent="0.3">
      <c r="A82" s="6" t="s">
        <v>60</v>
      </c>
      <c r="B82" s="6" t="s">
        <v>61</v>
      </c>
      <c r="C82" s="6" t="s">
        <v>60</v>
      </c>
      <c r="D82" s="6" t="s">
        <v>61</v>
      </c>
      <c r="E82" s="6" t="s">
        <v>62</v>
      </c>
      <c r="F82" s="6" t="s">
        <v>63</v>
      </c>
      <c r="G82" s="6" t="s">
        <v>60</v>
      </c>
      <c r="H82" s="6" t="s">
        <v>61</v>
      </c>
    </row>
    <row r="83" spans="1:12" x14ac:dyDescent="0.3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f>(E83-C83)-A83</f>
        <v>0</v>
      </c>
      <c r="H83">
        <f>(F83-D83)-B83</f>
        <v>0</v>
      </c>
      <c r="L83" t="str">
        <f>"[TestCase("&amp;A83&amp;", "&amp;B83&amp;", "&amp;C83&amp;", "&amp;D83&amp;", "&amp;E83&amp;", "&amp;F83&amp;", "&amp;G83&amp;", "&amp;H83&amp;")]"</f>
        <v>[TestCase(0, 0, 0, 0, 0, 0, 0, 0)]</v>
      </c>
    </row>
    <row r="84" spans="1:12" x14ac:dyDescent="0.3">
      <c r="A84">
        <v>1</v>
      </c>
      <c r="B84">
        <v>4</v>
      </c>
      <c r="C84">
        <v>5</v>
      </c>
      <c r="D84">
        <v>6</v>
      </c>
      <c r="E84">
        <v>7</v>
      </c>
      <c r="F84">
        <v>8</v>
      </c>
      <c r="G84">
        <f t="shared" ref="G84:G92" si="23">(E84-C84)-A84</f>
        <v>1</v>
      </c>
      <c r="H84">
        <f t="shared" ref="H84:H92" si="24">(F84-D84)-B84</f>
        <v>-2</v>
      </c>
      <c r="I84" t="s">
        <v>75</v>
      </c>
      <c r="L84" t="str">
        <f t="shared" ref="L84:L93" si="25">"[TestCase("&amp;A84&amp;", "&amp;B84&amp;", "&amp;C84&amp;", "&amp;D84&amp;", "&amp;E84&amp;", "&amp;F84&amp;", "&amp;G84&amp;", "&amp;H84&amp;")]"</f>
        <v>[TestCase(1, 4, 5, 6, 7, 8, 1, -2)]</v>
      </c>
    </row>
    <row r="85" spans="1:12" x14ac:dyDescent="0.3">
      <c r="A85">
        <v>-1</v>
      </c>
      <c r="B85">
        <v>4</v>
      </c>
      <c r="C85">
        <v>-5</v>
      </c>
      <c r="D85">
        <v>6</v>
      </c>
      <c r="E85">
        <v>-7</v>
      </c>
      <c r="F85">
        <v>8</v>
      </c>
      <c r="G85">
        <f t="shared" si="23"/>
        <v>-1</v>
      </c>
      <c r="H85">
        <f t="shared" si="24"/>
        <v>-2</v>
      </c>
      <c r="I85" t="s">
        <v>76</v>
      </c>
      <c r="L85" t="str">
        <f t="shared" si="25"/>
        <v>[TestCase(-1, 4, -5, 6, -7, 8, -1, -2)]</v>
      </c>
    </row>
    <row r="86" spans="1:12" x14ac:dyDescent="0.3">
      <c r="A86">
        <v>-1</v>
      </c>
      <c r="B86">
        <v>-4</v>
      </c>
      <c r="C86">
        <v>-5</v>
      </c>
      <c r="D86">
        <v>-6</v>
      </c>
      <c r="E86">
        <v>-7</v>
      </c>
      <c r="F86">
        <v>-8</v>
      </c>
      <c r="G86">
        <f t="shared" si="23"/>
        <v>-1</v>
      </c>
      <c r="H86">
        <f t="shared" si="24"/>
        <v>2</v>
      </c>
      <c r="I86" t="s">
        <v>77</v>
      </c>
      <c r="L86" t="str">
        <f t="shared" si="25"/>
        <v>[TestCase(-1, -4, -5, -6, -7, -8, -1, 2)]</v>
      </c>
    </row>
    <row r="87" spans="1:12" x14ac:dyDescent="0.3">
      <c r="A87">
        <v>1</v>
      </c>
      <c r="B87">
        <v>-4</v>
      </c>
      <c r="C87">
        <v>5</v>
      </c>
      <c r="D87">
        <v>-6</v>
      </c>
      <c r="E87">
        <v>7</v>
      </c>
      <c r="F87">
        <v>-8</v>
      </c>
      <c r="G87">
        <f t="shared" si="23"/>
        <v>1</v>
      </c>
      <c r="H87">
        <f t="shared" si="24"/>
        <v>2</v>
      </c>
      <c r="I87" t="s">
        <v>78</v>
      </c>
      <c r="L87" t="str">
        <f t="shared" si="25"/>
        <v>[TestCase(1, -4, 5, -6, 7, -8, 1, 2)]</v>
      </c>
    </row>
    <row r="88" spans="1:12" x14ac:dyDescent="0.3">
      <c r="A88">
        <v>1</v>
      </c>
      <c r="B88">
        <v>4</v>
      </c>
      <c r="C88">
        <v>-5</v>
      </c>
      <c r="D88">
        <v>-6</v>
      </c>
      <c r="E88">
        <v>-7</v>
      </c>
      <c r="F88">
        <v>-8</v>
      </c>
      <c r="G88">
        <f t="shared" si="23"/>
        <v>-3</v>
      </c>
      <c r="H88">
        <f t="shared" si="24"/>
        <v>-6</v>
      </c>
      <c r="I88" t="s">
        <v>88</v>
      </c>
      <c r="L88" t="str">
        <f t="shared" si="25"/>
        <v>[TestCase(1, 4, -5, -6, -7, -8, -3, -6)]</v>
      </c>
    </row>
    <row r="89" spans="1:12" x14ac:dyDescent="0.3">
      <c r="A89">
        <v>1</v>
      </c>
      <c r="B89">
        <v>4</v>
      </c>
      <c r="C89">
        <v>-5</v>
      </c>
      <c r="D89">
        <v>6</v>
      </c>
      <c r="E89">
        <v>-7</v>
      </c>
      <c r="F89">
        <v>8</v>
      </c>
      <c r="G89">
        <f t="shared" si="23"/>
        <v>-3</v>
      </c>
      <c r="H89">
        <f t="shared" si="24"/>
        <v>-2</v>
      </c>
      <c r="I89" t="s">
        <v>79</v>
      </c>
      <c r="L89" t="str">
        <f t="shared" si="25"/>
        <v>[TestCase(1, 4, -5, 6, -7, 8, -3, -2)]</v>
      </c>
    </row>
    <row r="90" spans="1:12" x14ac:dyDescent="0.3">
      <c r="A90">
        <v>1</v>
      </c>
      <c r="B90">
        <v>4</v>
      </c>
      <c r="C90">
        <v>5</v>
      </c>
      <c r="D90">
        <v>-6</v>
      </c>
      <c r="E90">
        <v>7</v>
      </c>
      <c r="F90">
        <v>-8</v>
      </c>
      <c r="G90">
        <f t="shared" si="23"/>
        <v>1</v>
      </c>
      <c r="H90">
        <f t="shared" si="24"/>
        <v>-6</v>
      </c>
      <c r="I90" t="s">
        <v>80</v>
      </c>
      <c r="L90" t="str">
        <f t="shared" si="25"/>
        <v>[TestCase(1, 4, 5, -6, 7, -8, 1, -6)]</v>
      </c>
    </row>
    <row r="91" spans="1:12" x14ac:dyDescent="0.3">
      <c r="A91">
        <v>1</v>
      </c>
      <c r="B91">
        <v>4</v>
      </c>
      <c r="C91">
        <v>5</v>
      </c>
      <c r="D91">
        <v>6</v>
      </c>
      <c r="E91">
        <v>5</v>
      </c>
      <c r="F91">
        <v>8</v>
      </c>
      <c r="G91">
        <f t="shared" si="23"/>
        <v>-1</v>
      </c>
      <c r="H91">
        <f t="shared" si="24"/>
        <v>-2</v>
      </c>
      <c r="I91" t="s">
        <v>82</v>
      </c>
      <c r="L91" t="str">
        <f t="shared" si="25"/>
        <v>[TestCase(1, 4, 5, 6, 5, 8, -1, -2)]</v>
      </c>
    </row>
    <row r="92" spans="1:12" x14ac:dyDescent="0.3">
      <c r="A92">
        <v>1</v>
      </c>
      <c r="B92">
        <v>4</v>
      </c>
      <c r="C92">
        <v>5</v>
      </c>
      <c r="D92">
        <v>6</v>
      </c>
      <c r="E92">
        <v>4</v>
      </c>
      <c r="F92">
        <v>8</v>
      </c>
      <c r="G92">
        <f t="shared" si="23"/>
        <v>-2</v>
      </c>
      <c r="H92">
        <f t="shared" si="24"/>
        <v>-2</v>
      </c>
      <c r="I92" t="s">
        <v>81</v>
      </c>
      <c r="L92" t="str">
        <f t="shared" si="25"/>
        <v>[TestCase(1, 4, 5, 6, 4, 8, -2, -2)]</v>
      </c>
    </row>
    <row r="93" spans="1:12" x14ac:dyDescent="0.3">
      <c r="A93">
        <v>1.1000000000000001</v>
      </c>
      <c r="B93">
        <v>4.4000000000000004</v>
      </c>
      <c r="C93">
        <v>5.5</v>
      </c>
      <c r="D93">
        <v>6.6</v>
      </c>
      <c r="E93">
        <v>4.4000000000000004</v>
      </c>
      <c r="F93">
        <v>8.1</v>
      </c>
      <c r="G93">
        <f t="shared" ref="G93" si="26">(E93-C93)-A93</f>
        <v>-2.1999999999999997</v>
      </c>
      <c r="H93">
        <f t="shared" ref="H93" si="27">(F93-D93)-B93</f>
        <v>-2.9000000000000004</v>
      </c>
      <c r="L93" t="str">
        <f t="shared" si="25"/>
        <v>[TestCase(1.1, 4.4, 5.5, 6.6, 4.4, 8.1, -2.2, -2.9)]</v>
      </c>
    </row>
    <row r="95" spans="1:12" s="2" customFormat="1" x14ac:dyDescent="0.3">
      <c r="A95" s="2" t="s">
        <v>7</v>
      </c>
    </row>
    <row r="96" spans="1:12" x14ac:dyDescent="0.3">
      <c r="A96" s="6" t="s">
        <v>60</v>
      </c>
      <c r="B96" s="6" t="s">
        <v>61</v>
      </c>
      <c r="C96" s="6" t="s">
        <v>62</v>
      </c>
      <c r="D96" s="6" t="s">
        <v>63</v>
      </c>
      <c r="E96" s="6" t="s">
        <v>67</v>
      </c>
      <c r="F96" s="6" t="s">
        <v>68</v>
      </c>
      <c r="G96" s="6" t="s">
        <v>69</v>
      </c>
      <c r="H96" s="6" t="s">
        <v>70</v>
      </c>
      <c r="I96" s="6" t="s">
        <v>71</v>
      </c>
    </row>
    <row r="97" spans="1:12" x14ac:dyDescent="0.3">
      <c r="A97">
        <v>0</v>
      </c>
      <c r="B97">
        <v>0</v>
      </c>
      <c r="C97">
        <f>B97</f>
        <v>0</v>
      </c>
      <c r="D97">
        <f>A97</f>
        <v>0</v>
      </c>
      <c r="E97" s="6">
        <v>0</v>
      </c>
      <c r="F97">
        <f>$E97*A97</f>
        <v>0</v>
      </c>
      <c r="G97">
        <f>$E97*B97</f>
        <v>0</v>
      </c>
      <c r="H97">
        <f>$E97*C97</f>
        <v>0</v>
      </c>
      <c r="I97">
        <f>$E97*D97</f>
        <v>0</v>
      </c>
      <c r="L97" t="str">
        <f>"[TestCase("&amp;A97&amp;", "&amp;B97&amp;", "&amp;E97&amp;", "&amp;ROUND(F97,6)&amp;", "&amp;ROUND(G97,6)&amp;", "&amp;ROUND(H97,6)&amp;", "&amp;ROUND(I97,6)&amp;")]"</f>
        <v>[TestCase(0, 0, 0, 0, 0, 0, 0)]</v>
      </c>
    </row>
    <row r="98" spans="1:12" x14ac:dyDescent="0.3">
      <c r="A98">
        <v>0</v>
      </c>
      <c r="B98">
        <v>0</v>
      </c>
      <c r="C98">
        <f t="shared" ref="C98:C104" si="28">B98</f>
        <v>0</v>
      </c>
      <c r="D98">
        <f t="shared" ref="D98:D104" si="29">A98</f>
        <v>0</v>
      </c>
      <c r="E98" s="6">
        <v>2</v>
      </c>
      <c r="F98">
        <f t="shared" ref="F98:F104" si="30">$E98*A98</f>
        <v>0</v>
      </c>
      <c r="G98">
        <f t="shared" ref="G98:G104" si="31">$E98*B98</f>
        <v>0</v>
      </c>
      <c r="H98">
        <f t="shared" ref="H98:H104" si="32">$E98*C98</f>
        <v>0</v>
      </c>
      <c r="I98">
        <f t="shared" ref="I98:I104" si="33">$E98*D98</f>
        <v>0</v>
      </c>
      <c r="L98" t="str">
        <f t="shared" ref="L98:L104" si="34">"[TestCase("&amp;A98&amp;", "&amp;B98&amp;", "&amp;E98&amp;", "&amp;ROUND(F98,6)&amp;", "&amp;ROUND(G98,6)&amp;", "&amp;ROUND(H98,6)&amp;", "&amp;ROUND(I98,6)&amp;")]"</f>
        <v>[TestCase(0, 0, 2, 0, 0, 0, 0)]</v>
      </c>
    </row>
    <row r="99" spans="1:12" x14ac:dyDescent="0.3">
      <c r="A99">
        <v>2</v>
      </c>
      <c r="B99">
        <v>3</v>
      </c>
      <c r="C99">
        <f t="shared" si="28"/>
        <v>3</v>
      </c>
      <c r="D99">
        <f t="shared" si="29"/>
        <v>2</v>
      </c>
      <c r="E99" s="6">
        <v>0</v>
      </c>
      <c r="F99">
        <f t="shared" si="30"/>
        <v>0</v>
      </c>
      <c r="G99">
        <f t="shared" si="31"/>
        <v>0</v>
      </c>
      <c r="H99">
        <f t="shared" si="32"/>
        <v>0</v>
      </c>
      <c r="I99">
        <f t="shared" si="33"/>
        <v>0</v>
      </c>
      <c r="L99" t="str">
        <f t="shared" si="34"/>
        <v>[TestCase(2, 3, 0, 0, 0, 0, 0)]</v>
      </c>
    </row>
    <row r="100" spans="1:12" x14ac:dyDescent="0.3">
      <c r="A100">
        <v>2</v>
      </c>
      <c r="B100">
        <v>3</v>
      </c>
      <c r="C100">
        <f t="shared" si="28"/>
        <v>3</v>
      </c>
      <c r="D100">
        <f t="shared" si="29"/>
        <v>2</v>
      </c>
      <c r="E100" s="6">
        <v>1</v>
      </c>
      <c r="F100">
        <f t="shared" si="30"/>
        <v>2</v>
      </c>
      <c r="G100">
        <f t="shared" si="31"/>
        <v>3</v>
      </c>
      <c r="H100">
        <f t="shared" si="32"/>
        <v>3</v>
      </c>
      <c r="I100">
        <f t="shared" si="33"/>
        <v>2</v>
      </c>
      <c r="L100" t="str">
        <f t="shared" si="34"/>
        <v>[TestCase(2, 3, 1, 2, 3, 3, 2)]</v>
      </c>
    </row>
    <row r="101" spans="1:12" x14ac:dyDescent="0.3">
      <c r="A101">
        <v>2</v>
      </c>
      <c r="B101">
        <v>3</v>
      </c>
      <c r="C101">
        <f t="shared" si="28"/>
        <v>3</v>
      </c>
      <c r="D101">
        <f t="shared" si="29"/>
        <v>2</v>
      </c>
      <c r="E101" s="6">
        <v>-1</v>
      </c>
      <c r="F101">
        <f t="shared" si="30"/>
        <v>-2</v>
      </c>
      <c r="G101">
        <f t="shared" si="31"/>
        <v>-3</v>
      </c>
      <c r="H101">
        <f t="shared" si="32"/>
        <v>-3</v>
      </c>
      <c r="I101">
        <f t="shared" si="33"/>
        <v>-2</v>
      </c>
      <c r="L101" t="str">
        <f t="shared" si="34"/>
        <v>[TestCase(2, 3, -1, -2, -3, -3, -2)]</v>
      </c>
    </row>
    <row r="102" spans="1:12" x14ac:dyDescent="0.3">
      <c r="A102">
        <v>2</v>
      </c>
      <c r="B102">
        <v>3</v>
      </c>
      <c r="C102">
        <f t="shared" si="28"/>
        <v>3</v>
      </c>
      <c r="D102">
        <f t="shared" si="29"/>
        <v>2</v>
      </c>
      <c r="E102" s="6">
        <v>3.2</v>
      </c>
      <c r="F102">
        <f t="shared" si="30"/>
        <v>6.4</v>
      </c>
      <c r="G102">
        <f t="shared" si="31"/>
        <v>9.6000000000000014</v>
      </c>
      <c r="H102">
        <f t="shared" si="32"/>
        <v>9.6000000000000014</v>
      </c>
      <c r="I102">
        <f t="shared" si="33"/>
        <v>6.4</v>
      </c>
      <c r="L102" t="str">
        <f t="shared" si="34"/>
        <v>[TestCase(2, 3, 3.2, 6.4, 9.6, 9.6, 6.4)]</v>
      </c>
    </row>
    <row r="103" spans="1:12" x14ac:dyDescent="0.3">
      <c r="A103">
        <v>2</v>
      </c>
      <c r="B103">
        <v>3</v>
      </c>
      <c r="C103">
        <f t="shared" si="28"/>
        <v>3</v>
      </c>
      <c r="D103">
        <f t="shared" si="29"/>
        <v>2</v>
      </c>
      <c r="E103" s="6">
        <v>-1.2</v>
      </c>
      <c r="F103">
        <f t="shared" si="30"/>
        <v>-2.4</v>
      </c>
      <c r="G103">
        <f t="shared" si="31"/>
        <v>-3.5999999999999996</v>
      </c>
      <c r="H103">
        <f t="shared" si="32"/>
        <v>-3.5999999999999996</v>
      </c>
      <c r="I103">
        <f t="shared" si="33"/>
        <v>-2.4</v>
      </c>
      <c r="L103" t="str">
        <f t="shared" si="34"/>
        <v>[TestCase(2, 3, -1.2, -2.4, -3.6, -3.6, -2.4)]</v>
      </c>
    </row>
    <row r="104" spans="1:12" x14ac:dyDescent="0.3">
      <c r="A104">
        <v>2.2000000000000002</v>
      </c>
      <c r="B104">
        <v>3.1</v>
      </c>
      <c r="C104">
        <f t="shared" si="28"/>
        <v>3.1</v>
      </c>
      <c r="D104">
        <f t="shared" si="29"/>
        <v>2.2000000000000002</v>
      </c>
      <c r="E104" s="6">
        <v>5.4</v>
      </c>
      <c r="F104">
        <f t="shared" si="30"/>
        <v>11.880000000000003</v>
      </c>
      <c r="G104">
        <f t="shared" si="31"/>
        <v>16.740000000000002</v>
      </c>
      <c r="H104">
        <f t="shared" si="32"/>
        <v>16.740000000000002</v>
      </c>
      <c r="I104">
        <f t="shared" si="33"/>
        <v>11.880000000000003</v>
      </c>
      <c r="L104" t="str">
        <f t="shared" si="34"/>
        <v>[TestCase(2.2, 3.1, 5.4, 11.88, 16.74, 16.74, 11.88)]</v>
      </c>
    </row>
    <row r="106" spans="1:12" s="2" customFormat="1" x14ac:dyDescent="0.3">
      <c r="A106" s="2" t="s">
        <v>8</v>
      </c>
    </row>
    <row r="107" spans="1:12" x14ac:dyDescent="0.3">
      <c r="A107" s="6" t="s">
        <v>60</v>
      </c>
      <c r="B107" s="6" t="s">
        <v>61</v>
      </c>
      <c r="C107" s="6" t="s">
        <v>62</v>
      </c>
      <c r="D107" s="6" t="s">
        <v>63</v>
      </c>
      <c r="E107" s="6" t="s">
        <v>67</v>
      </c>
      <c r="F107" s="6" t="s">
        <v>68</v>
      </c>
      <c r="G107" s="6" t="s">
        <v>69</v>
      </c>
      <c r="H107" s="6" t="s">
        <v>70</v>
      </c>
      <c r="I107" s="6" t="s">
        <v>71</v>
      </c>
    </row>
    <row r="108" spans="1:12" x14ac:dyDescent="0.3">
      <c r="A108">
        <v>0</v>
      </c>
      <c r="B108">
        <v>0</v>
      </c>
      <c r="C108">
        <f>B108</f>
        <v>0</v>
      </c>
      <c r="D108">
        <f>A108</f>
        <v>0</v>
      </c>
      <c r="E108">
        <v>0</v>
      </c>
      <c r="F108" t="e">
        <f>A108/$E108</f>
        <v>#DIV/0!</v>
      </c>
      <c r="G108" t="e">
        <f t="shared" ref="G108:I108" si="35">B108/$E108</f>
        <v>#DIV/0!</v>
      </c>
      <c r="H108" t="e">
        <f t="shared" si="35"/>
        <v>#DIV/0!</v>
      </c>
      <c r="I108" t="e">
        <f t="shared" si="35"/>
        <v>#DIV/0!</v>
      </c>
      <c r="L108" t="e">
        <f>"[TestCase("&amp;A108&amp;", "&amp;B108&amp;", "&amp;E108&amp;", "&amp;ROUND(F108,6)&amp;", "&amp;ROUND(G108,6)&amp;", "&amp;ROUND(H108,6)&amp;", "&amp;ROUND(I108,6)&amp;")]"</f>
        <v>#DIV/0!</v>
      </c>
    </row>
    <row r="109" spans="1:12" x14ac:dyDescent="0.3">
      <c r="A109">
        <v>0</v>
      </c>
      <c r="B109">
        <v>0</v>
      </c>
      <c r="C109">
        <f t="shared" ref="C109:C114" si="36">B109</f>
        <v>0</v>
      </c>
      <c r="D109">
        <f t="shared" ref="D109:D114" si="37">A109</f>
        <v>0</v>
      </c>
      <c r="E109">
        <v>2</v>
      </c>
      <c r="F109">
        <f>A109/$E109</f>
        <v>0</v>
      </c>
      <c r="G109">
        <f>B109/$E109</f>
        <v>0</v>
      </c>
      <c r="H109">
        <f>C109/$E109</f>
        <v>0</v>
      </c>
      <c r="I109">
        <f>D109/$E109</f>
        <v>0</v>
      </c>
      <c r="L109" t="str">
        <f t="shared" ref="L109:L114" si="38">"[TestCase("&amp;A109&amp;", "&amp;B109&amp;", "&amp;E109&amp;", "&amp;ROUND(F109,6)&amp;", "&amp;ROUND(G109,6)&amp;", "&amp;ROUND(H109,6)&amp;", "&amp;ROUND(I109,6)&amp;")]"</f>
        <v>[TestCase(0, 0, 2, 0, 0, 0, 0)]</v>
      </c>
    </row>
    <row r="110" spans="1:12" x14ac:dyDescent="0.3">
      <c r="A110">
        <v>2</v>
      </c>
      <c r="B110">
        <v>3</v>
      </c>
      <c r="C110">
        <f t="shared" si="36"/>
        <v>3</v>
      </c>
      <c r="D110">
        <f t="shared" si="37"/>
        <v>2</v>
      </c>
      <c r="E110">
        <v>1</v>
      </c>
      <c r="F110">
        <f t="shared" ref="F110:F114" si="39">A110/$E110</f>
        <v>2</v>
      </c>
      <c r="G110">
        <f t="shared" ref="G110:G114" si="40">B110/$E110</f>
        <v>3</v>
      </c>
      <c r="H110">
        <f t="shared" ref="H110:H114" si="41">C110/$E110</f>
        <v>3</v>
      </c>
      <c r="I110">
        <f t="shared" ref="I110:I114" si="42">D110/$E110</f>
        <v>2</v>
      </c>
      <c r="L110" t="str">
        <f t="shared" si="38"/>
        <v>[TestCase(2, 3, 1, 2, 3, 3, 2)]</v>
      </c>
    </row>
    <row r="111" spans="1:12" x14ac:dyDescent="0.3">
      <c r="A111">
        <v>2</v>
      </c>
      <c r="B111">
        <v>3</v>
      </c>
      <c r="C111">
        <f t="shared" si="36"/>
        <v>3</v>
      </c>
      <c r="D111">
        <f t="shared" si="37"/>
        <v>2</v>
      </c>
      <c r="E111">
        <v>-1</v>
      </c>
      <c r="F111">
        <f t="shared" si="39"/>
        <v>-2</v>
      </c>
      <c r="G111">
        <f t="shared" si="40"/>
        <v>-3</v>
      </c>
      <c r="H111">
        <f t="shared" si="41"/>
        <v>-3</v>
      </c>
      <c r="I111">
        <f t="shared" si="42"/>
        <v>-2</v>
      </c>
      <c r="L111" t="str">
        <f t="shared" si="38"/>
        <v>[TestCase(2, 3, -1, -2, -3, -3, -2)]</v>
      </c>
    </row>
    <row r="112" spans="1:12" s="3" customFormat="1" x14ac:dyDescent="0.3">
      <c r="A112" s="3">
        <v>2</v>
      </c>
      <c r="B112" s="3">
        <v>3</v>
      </c>
      <c r="C112" s="3">
        <f t="shared" si="36"/>
        <v>3</v>
      </c>
      <c r="D112" s="3">
        <f t="shared" si="37"/>
        <v>2</v>
      </c>
      <c r="E112" s="4">
        <v>3.2</v>
      </c>
      <c r="F112" s="3">
        <f t="shared" si="39"/>
        <v>0.625</v>
      </c>
      <c r="G112" s="3">
        <f t="shared" si="40"/>
        <v>0.9375</v>
      </c>
      <c r="H112" s="3">
        <f t="shared" si="41"/>
        <v>0.9375</v>
      </c>
      <c r="I112" s="3">
        <f t="shared" si="42"/>
        <v>0.625</v>
      </c>
      <c r="L112" s="3" t="str">
        <f t="shared" si="38"/>
        <v>[TestCase(2, 3, 3.2, 0.625, 0.9375, 0.9375, 0.625)]</v>
      </c>
    </row>
    <row r="113" spans="1:12" s="3" customFormat="1" x14ac:dyDescent="0.3">
      <c r="A113" s="3">
        <v>2</v>
      </c>
      <c r="B113" s="3">
        <v>3</v>
      </c>
      <c r="C113" s="3">
        <f t="shared" si="36"/>
        <v>3</v>
      </c>
      <c r="D113" s="3">
        <f t="shared" si="37"/>
        <v>2</v>
      </c>
      <c r="E113" s="4">
        <v>-1.2</v>
      </c>
      <c r="F113" s="3">
        <f t="shared" si="39"/>
        <v>-1.6666666666666667</v>
      </c>
      <c r="G113" s="3">
        <f t="shared" si="40"/>
        <v>-2.5</v>
      </c>
      <c r="H113" s="3">
        <f t="shared" si="41"/>
        <v>-2.5</v>
      </c>
      <c r="I113" s="3">
        <f t="shared" si="42"/>
        <v>-1.6666666666666667</v>
      </c>
      <c r="L113" s="3" t="str">
        <f t="shared" si="38"/>
        <v>[TestCase(2, 3, -1.2, -1.666667, -2.5, -2.5, -1.666667)]</v>
      </c>
    </row>
    <row r="114" spans="1:12" s="3" customFormat="1" x14ac:dyDescent="0.3">
      <c r="A114" s="3">
        <v>2.2000000000000002</v>
      </c>
      <c r="B114" s="3">
        <v>3.1</v>
      </c>
      <c r="C114" s="3">
        <f t="shared" si="36"/>
        <v>3.1</v>
      </c>
      <c r="D114" s="3">
        <f t="shared" si="37"/>
        <v>2.2000000000000002</v>
      </c>
      <c r="E114" s="4">
        <v>5.4</v>
      </c>
      <c r="F114" s="3">
        <f t="shared" si="39"/>
        <v>0.40740740740740744</v>
      </c>
      <c r="G114" s="3">
        <f t="shared" si="40"/>
        <v>0.57407407407407407</v>
      </c>
      <c r="H114" s="3">
        <f t="shared" si="41"/>
        <v>0.57407407407407407</v>
      </c>
      <c r="I114" s="3">
        <f t="shared" si="42"/>
        <v>0.40740740740740744</v>
      </c>
      <c r="L114" s="3" t="str">
        <f t="shared" si="38"/>
        <v>[TestCase(2.2, 3.1, 5.4, 0.407407, 0.574074, 0.574074, 0.407407)]</v>
      </c>
    </row>
  </sheetData>
  <mergeCells count="15">
    <mergeCell ref="A66:B66"/>
    <mergeCell ref="C66:F66"/>
    <mergeCell ref="G66:H66"/>
    <mergeCell ref="A81:B81"/>
    <mergeCell ref="C81:F81"/>
    <mergeCell ref="G81:H81"/>
    <mergeCell ref="A21:D21"/>
    <mergeCell ref="E21:H21"/>
    <mergeCell ref="I21:L21"/>
    <mergeCell ref="A51:D51"/>
    <mergeCell ref="E51:H51"/>
    <mergeCell ref="I51:L51"/>
    <mergeCell ref="C36:F36"/>
    <mergeCell ref="A36:B36"/>
    <mergeCell ref="G36:H36"/>
  </mergeCells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F9444-A8E7-4D49-9ABE-CE6471863689}">
  <sheetPr codeName="Sheet9"/>
  <dimension ref="A1:G121"/>
  <sheetViews>
    <sheetView topLeftCell="A82" zoomScaleNormal="100" workbookViewId="0">
      <selection activeCell="I106" sqref="I106"/>
    </sheetView>
  </sheetViews>
  <sheetFormatPr defaultRowHeight="14.4" x14ac:dyDescent="0.3"/>
  <cols>
    <col min="1" max="1" width="14.77734375" customWidth="1"/>
    <col min="2" max="2" width="13.6640625" customWidth="1"/>
    <col min="3" max="3" width="15.77734375" customWidth="1"/>
  </cols>
  <sheetData>
    <row r="1" spans="1:7" s="2" customFormat="1" x14ac:dyDescent="0.3">
      <c r="A1" s="2" t="s">
        <v>21</v>
      </c>
    </row>
    <row r="2" spans="1:7" x14ac:dyDescent="0.3">
      <c r="A2" s="6" t="s">
        <v>32</v>
      </c>
      <c r="B2" s="6" t="s">
        <v>33</v>
      </c>
      <c r="C2" s="6"/>
      <c r="D2" s="6" t="s">
        <v>34</v>
      </c>
      <c r="E2" s="6"/>
      <c r="F2" s="6"/>
      <c r="G2" s="6" t="s">
        <v>35</v>
      </c>
    </row>
    <row r="3" spans="1:7" x14ac:dyDescent="0.3">
      <c r="A3">
        <v>0</v>
      </c>
      <c r="B3">
        <v>0</v>
      </c>
      <c r="D3" t="str">
        <f>"[TestCase("&amp;A3&amp;","&amp;B3&amp;")]"</f>
        <v>[TestCase(0,0)]</v>
      </c>
      <c r="G3" t="str">
        <f>"[TestCase("&amp;B3&amp;","&amp;A3&amp;")]"</f>
        <v>[TestCase(0,0)]</v>
      </c>
    </row>
    <row r="4" spans="1:7" x14ac:dyDescent="0.3">
      <c r="A4">
        <v>45</v>
      </c>
      <c r="B4" s="5">
        <f>PI()/4</f>
        <v>0.78539816339744828</v>
      </c>
      <c r="D4" t="str">
        <f t="shared" ref="D4:D12" si="0">"[TestCase("&amp;A4&amp;","&amp;ROUND(B4,5)&amp;")]"</f>
        <v>[TestCase(45,0.7854)]</v>
      </c>
      <c r="G4" t="str">
        <f t="shared" ref="G4:G12" si="1">"[TestCase("&amp;ROUND(B4,7)&amp;","&amp;A4&amp;")]"</f>
        <v>[TestCase(0.7853982,45)]</v>
      </c>
    </row>
    <row r="5" spans="1:7" x14ac:dyDescent="0.3">
      <c r="A5">
        <v>90</v>
      </c>
      <c r="B5" s="5">
        <f>PI()/2</f>
        <v>1.5707963267948966</v>
      </c>
      <c r="D5" t="str">
        <f t="shared" si="0"/>
        <v>[TestCase(90,1.5708)]</v>
      </c>
      <c r="G5" t="str">
        <f t="shared" si="1"/>
        <v>[TestCase(1.5707963,90)]</v>
      </c>
    </row>
    <row r="6" spans="1:7" x14ac:dyDescent="0.3">
      <c r="A6">
        <v>135</v>
      </c>
      <c r="B6" s="5">
        <f>(3/4)*PI()</f>
        <v>2.3561944901923448</v>
      </c>
      <c r="D6" t="str">
        <f t="shared" si="0"/>
        <v>[TestCase(135,2.35619)]</v>
      </c>
      <c r="G6" t="str">
        <f t="shared" si="1"/>
        <v>[TestCase(2.3561945,135)]</v>
      </c>
    </row>
    <row r="7" spans="1:7" x14ac:dyDescent="0.3">
      <c r="A7">
        <v>180</v>
      </c>
      <c r="B7" s="5">
        <f>PI()</f>
        <v>3.1415926535897931</v>
      </c>
      <c r="D7" t="str">
        <f t="shared" si="0"/>
        <v>[TestCase(180,3.14159)]</v>
      </c>
      <c r="G7" t="str">
        <f t="shared" si="1"/>
        <v>[TestCase(3.1415927,180)]</v>
      </c>
    </row>
    <row r="8" spans="1:7" x14ac:dyDescent="0.3">
      <c r="A8">
        <v>225</v>
      </c>
      <c r="B8" s="5">
        <f>(5/4)*PI()</f>
        <v>3.9269908169872414</v>
      </c>
      <c r="D8" t="str">
        <f t="shared" si="0"/>
        <v>[TestCase(225,3.92699)]</v>
      </c>
      <c r="G8" t="str">
        <f t="shared" si="1"/>
        <v>[TestCase(3.9269908,225)]</v>
      </c>
    </row>
    <row r="9" spans="1:7" x14ac:dyDescent="0.3">
      <c r="A9">
        <v>270</v>
      </c>
      <c r="B9" s="5">
        <f>(3/2)*PI()</f>
        <v>4.7123889803846897</v>
      </c>
      <c r="D9" t="str">
        <f t="shared" si="0"/>
        <v>[TestCase(270,4.71239)]</v>
      </c>
      <c r="G9" t="str">
        <f t="shared" si="1"/>
        <v>[TestCase(4.712389,270)]</v>
      </c>
    </row>
    <row r="10" spans="1:7" x14ac:dyDescent="0.3">
      <c r="A10">
        <v>315</v>
      </c>
      <c r="B10" s="5">
        <f>(7/4)*PI()</f>
        <v>5.497787143782138</v>
      </c>
      <c r="D10" t="str">
        <f t="shared" si="0"/>
        <v>[TestCase(315,5.49779)]</v>
      </c>
      <c r="G10" t="str">
        <f t="shared" si="1"/>
        <v>[TestCase(5.4977871,315)]</v>
      </c>
    </row>
    <row r="11" spans="1:7" x14ac:dyDescent="0.3">
      <c r="A11">
        <v>30</v>
      </c>
      <c r="B11" s="5">
        <f>RADIANS(A11)</f>
        <v>0.52359877559829882</v>
      </c>
      <c r="D11" t="str">
        <f t="shared" si="0"/>
        <v>[TestCase(30,0.5236)]</v>
      </c>
      <c r="G11" t="str">
        <f t="shared" si="1"/>
        <v>[TestCase(0.5235988,30)]</v>
      </c>
    </row>
    <row r="12" spans="1:7" x14ac:dyDescent="0.3">
      <c r="A12">
        <v>60</v>
      </c>
      <c r="B12" s="5">
        <f>RADIANS(A12)</f>
        <v>1.0471975511965976</v>
      </c>
      <c r="D12" t="str">
        <f t="shared" si="0"/>
        <v>[TestCase(60,1.0472)]</v>
      </c>
      <c r="G12" t="str">
        <f t="shared" si="1"/>
        <v>[TestCase(1.0471976,60)]</v>
      </c>
    </row>
    <row r="14" spans="1:7" s="2" customFormat="1" x14ac:dyDescent="0.3">
      <c r="A14" s="2" t="s">
        <v>21</v>
      </c>
    </row>
    <row r="15" spans="1:7" x14ac:dyDescent="0.3">
      <c r="A15" s="6" t="s">
        <v>22</v>
      </c>
      <c r="B15" s="6" t="s">
        <v>23</v>
      </c>
      <c r="C15" s="6" t="s">
        <v>19</v>
      </c>
    </row>
    <row r="16" spans="1:7" x14ac:dyDescent="0.3">
      <c r="A16">
        <v>0</v>
      </c>
      <c r="B16">
        <v>0</v>
      </c>
      <c r="C16" t="e">
        <f t="shared" ref="C16:C26" si="2">ATAN(B16/A16)</f>
        <v>#DIV/0!</v>
      </c>
      <c r="D16" t="e">
        <f t="shared" ref="D16:D26" si="3">DEGREES(C16)</f>
        <v>#DIV/0!</v>
      </c>
    </row>
    <row r="17" spans="1:7" x14ac:dyDescent="0.3">
      <c r="A17">
        <v>1</v>
      </c>
      <c r="B17">
        <v>0</v>
      </c>
      <c r="C17">
        <f t="shared" si="2"/>
        <v>0</v>
      </c>
      <c r="D17">
        <f t="shared" si="3"/>
        <v>0</v>
      </c>
      <c r="E17">
        <v>0</v>
      </c>
    </row>
    <row r="18" spans="1:7" x14ac:dyDescent="0.3">
      <c r="A18">
        <v>0</v>
      </c>
      <c r="B18">
        <v>1</v>
      </c>
      <c r="C18" t="e">
        <f t="shared" si="2"/>
        <v>#DIV/0!</v>
      </c>
      <c r="D18" t="e">
        <f t="shared" si="3"/>
        <v>#DIV/0!</v>
      </c>
      <c r="E18">
        <v>90</v>
      </c>
      <c r="F18">
        <f>PI()/2</f>
        <v>1.5707963267948966</v>
      </c>
    </row>
    <row r="19" spans="1:7" x14ac:dyDescent="0.3">
      <c r="A19">
        <v>-1</v>
      </c>
      <c r="B19">
        <v>0</v>
      </c>
      <c r="C19">
        <f t="shared" si="2"/>
        <v>0</v>
      </c>
      <c r="D19">
        <f t="shared" si="3"/>
        <v>0</v>
      </c>
      <c r="E19">
        <v>180</v>
      </c>
      <c r="F19">
        <f>PI()</f>
        <v>3.1415926535897931</v>
      </c>
    </row>
    <row r="20" spans="1:7" x14ac:dyDescent="0.3">
      <c r="A20">
        <v>0</v>
      </c>
      <c r="B20">
        <v>-1</v>
      </c>
      <c r="C20" t="e">
        <f t="shared" si="2"/>
        <v>#DIV/0!</v>
      </c>
      <c r="D20" t="e">
        <f t="shared" si="3"/>
        <v>#DIV/0!</v>
      </c>
      <c r="E20">
        <v>270</v>
      </c>
      <c r="F20">
        <f>3*PI()/2</f>
        <v>4.7123889803846897</v>
      </c>
    </row>
    <row r="21" spans="1:7" x14ac:dyDescent="0.3">
      <c r="A21">
        <v>1</v>
      </c>
      <c r="B21">
        <v>1</v>
      </c>
      <c r="C21">
        <f t="shared" si="2"/>
        <v>0.78539816339744828</v>
      </c>
      <c r="D21">
        <f t="shared" si="3"/>
        <v>45</v>
      </c>
      <c r="E21" t="s">
        <v>24</v>
      </c>
    </row>
    <row r="22" spans="1:7" x14ac:dyDescent="0.3">
      <c r="A22">
        <v>-1</v>
      </c>
      <c r="B22">
        <v>1</v>
      </c>
      <c r="C22">
        <f t="shared" si="2"/>
        <v>-0.78539816339744828</v>
      </c>
      <c r="D22">
        <f t="shared" si="3"/>
        <v>-45</v>
      </c>
      <c r="E22" t="s">
        <v>25</v>
      </c>
      <c r="F22">
        <f>PI()+C22</f>
        <v>2.3561944901923448</v>
      </c>
      <c r="G22">
        <f>DEGREES(F22)</f>
        <v>135</v>
      </c>
    </row>
    <row r="23" spans="1:7" x14ac:dyDescent="0.3">
      <c r="A23">
        <v>-1</v>
      </c>
      <c r="B23">
        <v>-1</v>
      </c>
      <c r="C23">
        <f t="shared" si="2"/>
        <v>0.78539816339744828</v>
      </c>
      <c r="D23">
        <f t="shared" si="3"/>
        <v>45</v>
      </c>
      <c r="E23" t="s">
        <v>26</v>
      </c>
      <c r="F23">
        <f>PI()+C23</f>
        <v>3.9269908169872414</v>
      </c>
      <c r="G23">
        <f>DEGREES(F23)</f>
        <v>225</v>
      </c>
    </row>
    <row r="24" spans="1:7" x14ac:dyDescent="0.3">
      <c r="A24">
        <v>1</v>
      </c>
      <c r="B24">
        <v>-1</v>
      </c>
      <c r="C24">
        <f t="shared" si="2"/>
        <v>-0.78539816339744828</v>
      </c>
      <c r="D24">
        <f t="shared" si="3"/>
        <v>-45</v>
      </c>
      <c r="E24" t="s">
        <v>27</v>
      </c>
      <c r="F24">
        <f>2*PI()+C24</f>
        <v>5.497787143782138</v>
      </c>
      <c r="G24">
        <f>DEGREES(F24)</f>
        <v>315</v>
      </c>
    </row>
    <row r="25" spans="1:7" x14ac:dyDescent="0.3">
      <c r="A25">
        <v>2</v>
      </c>
      <c r="B25">
        <v>1</v>
      </c>
      <c r="C25">
        <f t="shared" si="2"/>
        <v>0.46364760900080609</v>
      </c>
      <c r="D25">
        <f t="shared" si="3"/>
        <v>26.56505117707799</v>
      </c>
    </row>
    <row r="26" spans="1:7" x14ac:dyDescent="0.3">
      <c r="A26">
        <v>1</v>
      </c>
      <c r="B26">
        <v>2</v>
      </c>
      <c r="C26">
        <f t="shared" si="2"/>
        <v>1.1071487177940904</v>
      </c>
      <c r="D26">
        <f t="shared" si="3"/>
        <v>63.43494882292201</v>
      </c>
    </row>
    <row r="28" spans="1:7" s="2" customFormat="1" x14ac:dyDescent="0.3">
      <c r="A28" s="2" t="s">
        <v>53</v>
      </c>
    </row>
    <row r="29" spans="1:7" x14ac:dyDescent="0.3">
      <c r="A29" s="6" t="s">
        <v>21</v>
      </c>
      <c r="B29" s="6" t="s">
        <v>54</v>
      </c>
      <c r="C29" s="6" t="s">
        <v>19</v>
      </c>
    </row>
    <row r="30" spans="1:7" x14ac:dyDescent="0.3">
      <c r="A30">
        <v>0</v>
      </c>
      <c r="B30">
        <f>A30/(2*PI())</f>
        <v>0</v>
      </c>
      <c r="C30">
        <f>(B30-FLOOR(B30, 1))*2*PI()</f>
        <v>0</v>
      </c>
      <c r="E30" t="str">
        <f>"[TestCase("&amp;ROUND(A30,7)&amp;","&amp;ROUND(C30,5)&amp;")]"</f>
        <v>[TestCase(0,0)]</v>
      </c>
    </row>
    <row r="31" spans="1:7" x14ac:dyDescent="0.3">
      <c r="A31">
        <f>PI()/4</f>
        <v>0.78539816339744828</v>
      </c>
      <c r="B31">
        <f>A31/(2*PI())</f>
        <v>0.125</v>
      </c>
      <c r="C31">
        <f t="shared" ref="C31:C52" si="4">(B31-FLOOR(B31, 1))*2*PI()</f>
        <v>0.78539816339744828</v>
      </c>
      <c r="E31" t="str">
        <f t="shared" ref="E31:E42" si="5">"[TestCase("&amp;ROUND(A31,7)&amp;","&amp;ROUND(C31,5)&amp;")]"</f>
        <v>[TestCase(0.7853982,0.7854)]</v>
      </c>
    </row>
    <row r="32" spans="1:7" x14ac:dyDescent="0.3">
      <c r="A32">
        <f>PI()/2</f>
        <v>1.5707963267948966</v>
      </c>
      <c r="B32">
        <f t="shared" ref="B32:B52" si="6">A32/(2*PI())</f>
        <v>0.25</v>
      </c>
      <c r="C32">
        <f t="shared" si="4"/>
        <v>1.5707963267948966</v>
      </c>
      <c r="E32" t="str">
        <f t="shared" si="5"/>
        <v>[TestCase(1.5707963,1.5708)]</v>
      </c>
    </row>
    <row r="33" spans="1:5" x14ac:dyDescent="0.3">
      <c r="A33">
        <f>(3/4)*PI()</f>
        <v>2.3561944901923448</v>
      </c>
      <c r="B33">
        <f t="shared" si="6"/>
        <v>0.375</v>
      </c>
      <c r="C33">
        <f t="shared" si="4"/>
        <v>2.3561944901923448</v>
      </c>
      <c r="E33" t="str">
        <f t="shared" ref="E33" si="7">"[TestCase("&amp;ROUND(A33,7)&amp;","&amp;ROUND(C33,5)&amp;")]"</f>
        <v>[TestCase(2.3561945,2.35619)]</v>
      </c>
    </row>
    <row r="34" spans="1:5" x14ac:dyDescent="0.3">
      <c r="A34">
        <f>PI()</f>
        <v>3.1415926535897931</v>
      </c>
      <c r="B34">
        <f t="shared" si="6"/>
        <v>0.5</v>
      </c>
      <c r="C34">
        <f t="shared" si="4"/>
        <v>3.1415926535897931</v>
      </c>
      <c r="E34" t="str">
        <f t="shared" si="5"/>
        <v>[TestCase(3.1415927,3.14159)]</v>
      </c>
    </row>
    <row r="35" spans="1:5" x14ac:dyDescent="0.3">
      <c r="A35">
        <f>(5/4)*PI()</f>
        <v>3.9269908169872414</v>
      </c>
      <c r="B35">
        <f t="shared" si="6"/>
        <v>0.625</v>
      </c>
      <c r="C35">
        <f t="shared" si="4"/>
        <v>3.9269908169872414</v>
      </c>
      <c r="E35" t="str">
        <f t="shared" ref="E35" si="8">"[TestCase("&amp;ROUND(A35,7)&amp;","&amp;ROUND(C35,5)&amp;")]"</f>
        <v>[TestCase(3.9269908,3.92699)]</v>
      </c>
    </row>
    <row r="36" spans="1:5" x14ac:dyDescent="0.3">
      <c r="A36">
        <f>(3/2)*PI()</f>
        <v>4.7123889803846897</v>
      </c>
      <c r="B36">
        <f t="shared" si="6"/>
        <v>0.75</v>
      </c>
      <c r="C36">
        <f t="shared" si="4"/>
        <v>4.7123889803846897</v>
      </c>
      <c r="E36" t="str">
        <f t="shared" si="5"/>
        <v>[TestCase(4.712389,4.71239)]</v>
      </c>
    </row>
    <row r="37" spans="1:5" x14ac:dyDescent="0.3">
      <c r="A37">
        <f>(7/4)*PI()</f>
        <v>5.497787143782138</v>
      </c>
      <c r="B37">
        <f t="shared" si="6"/>
        <v>0.875</v>
      </c>
      <c r="C37">
        <f t="shared" si="4"/>
        <v>5.497787143782138</v>
      </c>
      <c r="E37" t="str">
        <f t="shared" si="5"/>
        <v>[TestCase(5.4977871,5.49779)]</v>
      </c>
    </row>
    <row r="38" spans="1:5" x14ac:dyDescent="0.3">
      <c r="A38">
        <f>2*PI()</f>
        <v>6.2831853071795862</v>
      </c>
      <c r="B38">
        <f>A38/(2*PI())</f>
        <v>1</v>
      </c>
      <c r="C38">
        <f t="shared" si="4"/>
        <v>0</v>
      </c>
      <c r="E38" t="str">
        <f t="shared" si="5"/>
        <v>[TestCase(6.2831853,0)]</v>
      </c>
    </row>
    <row r="39" spans="1:5" x14ac:dyDescent="0.3">
      <c r="A39">
        <f>3.5*PI()</f>
        <v>10.995574287564276</v>
      </c>
      <c r="B39">
        <f>A39/(2*PI())</f>
        <v>1.75</v>
      </c>
      <c r="C39">
        <f t="shared" si="4"/>
        <v>4.7123889803846897</v>
      </c>
      <c r="E39" t="str">
        <f t="shared" si="5"/>
        <v>[TestCase(10.9955743,4.71239)]</v>
      </c>
    </row>
    <row r="40" spans="1:5" x14ac:dyDescent="0.3">
      <c r="A40" s="2">
        <f>4*PI()</f>
        <v>12.566370614359172</v>
      </c>
      <c r="B40">
        <f t="shared" si="6"/>
        <v>2</v>
      </c>
      <c r="C40">
        <f t="shared" si="4"/>
        <v>0</v>
      </c>
      <c r="E40" t="str">
        <f t="shared" si="5"/>
        <v>[TestCase(12.5663706,0)]</v>
      </c>
    </row>
    <row r="41" spans="1:5" x14ac:dyDescent="0.3">
      <c r="A41">
        <f>10*PI()</f>
        <v>31.415926535897931</v>
      </c>
      <c r="B41">
        <f t="shared" si="6"/>
        <v>5</v>
      </c>
      <c r="C41">
        <f t="shared" si="4"/>
        <v>0</v>
      </c>
      <c r="E41" t="str">
        <f t="shared" si="5"/>
        <v>[TestCase(31.4159265,0)]</v>
      </c>
    </row>
    <row r="42" spans="1:5" x14ac:dyDescent="0.3">
      <c r="A42">
        <f>-A31</f>
        <v>-0.78539816339744828</v>
      </c>
      <c r="B42">
        <f t="shared" si="6"/>
        <v>-0.125</v>
      </c>
      <c r="C42">
        <f t="shared" si="4"/>
        <v>5.497787143782138</v>
      </c>
      <c r="E42" t="str">
        <f t="shared" si="5"/>
        <v>[TestCase(-0.7853982,5.49779)]</v>
      </c>
    </row>
    <row r="43" spans="1:5" x14ac:dyDescent="0.3">
      <c r="A43">
        <f t="shared" ref="A43:A52" si="9">-A32</f>
        <v>-1.5707963267948966</v>
      </c>
      <c r="B43">
        <f t="shared" si="6"/>
        <v>-0.25</v>
      </c>
      <c r="C43">
        <f t="shared" si="4"/>
        <v>4.7123889803846897</v>
      </c>
      <c r="E43" t="str">
        <f t="shared" ref="E43:E52" si="10">"[TestCase("&amp;ROUND(A43,7)&amp;","&amp;ROUND(C43,5)&amp;")]"</f>
        <v>[TestCase(-1.5707963,4.71239)]</v>
      </c>
    </row>
    <row r="44" spans="1:5" x14ac:dyDescent="0.3">
      <c r="A44">
        <f t="shared" si="9"/>
        <v>-2.3561944901923448</v>
      </c>
      <c r="B44">
        <f t="shared" si="6"/>
        <v>-0.375</v>
      </c>
      <c r="C44">
        <f t="shared" si="4"/>
        <v>3.9269908169872414</v>
      </c>
      <c r="E44" t="str">
        <f t="shared" si="10"/>
        <v>[TestCase(-2.3561945,3.92699)]</v>
      </c>
    </row>
    <row r="45" spans="1:5" x14ac:dyDescent="0.3">
      <c r="A45">
        <f t="shared" si="9"/>
        <v>-3.1415926535897931</v>
      </c>
      <c r="B45">
        <f t="shared" si="6"/>
        <v>-0.5</v>
      </c>
      <c r="C45">
        <f t="shared" si="4"/>
        <v>3.1415926535897931</v>
      </c>
      <c r="E45" t="str">
        <f t="shared" si="10"/>
        <v>[TestCase(-3.1415927,3.14159)]</v>
      </c>
    </row>
    <row r="46" spans="1:5" x14ac:dyDescent="0.3">
      <c r="A46">
        <f t="shared" si="9"/>
        <v>-3.9269908169872414</v>
      </c>
      <c r="B46">
        <f t="shared" si="6"/>
        <v>-0.625</v>
      </c>
      <c r="C46">
        <f t="shared" si="4"/>
        <v>2.3561944901923448</v>
      </c>
      <c r="E46" t="str">
        <f t="shared" si="10"/>
        <v>[TestCase(-3.9269908,2.35619)]</v>
      </c>
    </row>
    <row r="47" spans="1:5" x14ac:dyDescent="0.3">
      <c r="A47">
        <f t="shared" si="9"/>
        <v>-4.7123889803846897</v>
      </c>
      <c r="B47">
        <f t="shared" si="6"/>
        <v>-0.75</v>
      </c>
      <c r="C47">
        <f t="shared" si="4"/>
        <v>1.5707963267948966</v>
      </c>
      <c r="E47" t="str">
        <f t="shared" si="10"/>
        <v>[TestCase(-4.712389,1.5708)]</v>
      </c>
    </row>
    <row r="48" spans="1:5" x14ac:dyDescent="0.3">
      <c r="A48">
        <f t="shared" si="9"/>
        <v>-5.497787143782138</v>
      </c>
      <c r="B48">
        <f t="shared" si="6"/>
        <v>-0.875</v>
      </c>
      <c r="C48">
        <f t="shared" si="4"/>
        <v>0.78539816339744828</v>
      </c>
      <c r="E48" t="str">
        <f t="shared" si="10"/>
        <v>[TestCase(-5.4977871,0.7854)]</v>
      </c>
    </row>
    <row r="49" spans="1:5" x14ac:dyDescent="0.3">
      <c r="A49">
        <f t="shared" si="9"/>
        <v>-6.2831853071795862</v>
      </c>
      <c r="B49">
        <f t="shared" si="6"/>
        <v>-1</v>
      </c>
      <c r="C49">
        <f t="shared" si="4"/>
        <v>0</v>
      </c>
      <c r="E49" t="str">
        <f t="shared" si="10"/>
        <v>[TestCase(-6.2831853,0)]</v>
      </c>
    </row>
    <row r="50" spans="1:5" x14ac:dyDescent="0.3">
      <c r="A50">
        <f t="shared" si="9"/>
        <v>-10.995574287564276</v>
      </c>
      <c r="B50">
        <f t="shared" si="6"/>
        <v>-1.75</v>
      </c>
      <c r="C50">
        <f t="shared" si="4"/>
        <v>1.5707963267948966</v>
      </c>
      <c r="E50" t="str">
        <f t="shared" si="10"/>
        <v>[TestCase(-10.9955743,1.5708)]</v>
      </c>
    </row>
    <row r="51" spans="1:5" x14ac:dyDescent="0.3">
      <c r="A51">
        <f t="shared" si="9"/>
        <v>-12.566370614359172</v>
      </c>
      <c r="B51">
        <f t="shared" si="6"/>
        <v>-2</v>
      </c>
      <c r="C51">
        <f t="shared" si="4"/>
        <v>0</v>
      </c>
      <c r="E51" t="str">
        <f t="shared" si="10"/>
        <v>[TestCase(-12.5663706,0)]</v>
      </c>
    </row>
    <row r="52" spans="1:5" x14ac:dyDescent="0.3">
      <c r="A52">
        <f t="shared" si="9"/>
        <v>-31.415926535897931</v>
      </c>
      <c r="B52">
        <f t="shared" si="6"/>
        <v>-5</v>
      </c>
      <c r="C52">
        <f t="shared" si="4"/>
        <v>0</v>
      </c>
      <c r="E52" t="str">
        <f t="shared" si="10"/>
        <v>[TestCase(-31.4159265,0)]</v>
      </c>
    </row>
    <row r="54" spans="1:5" s="2" customFormat="1" x14ac:dyDescent="0.3">
      <c r="A54" s="2" t="s">
        <v>55</v>
      </c>
    </row>
    <row r="55" spans="1:5" x14ac:dyDescent="0.3">
      <c r="A55" s="6" t="s">
        <v>21</v>
      </c>
      <c r="B55" s="6" t="s">
        <v>54</v>
      </c>
      <c r="C55" s="6" t="s">
        <v>19</v>
      </c>
    </row>
    <row r="56" spans="1:5" x14ac:dyDescent="0.3">
      <c r="A56">
        <f>A30</f>
        <v>0</v>
      </c>
      <c r="B56">
        <f>B30</f>
        <v>0</v>
      </c>
      <c r="C56">
        <f>IF(ABS(C30) &gt; PI(), -SIGN(C30)*(2*PI()-ABS(C30)),C30)</f>
        <v>0</v>
      </c>
      <c r="E56" t="str">
        <f>"[TestCase("&amp;ROUND(A56,6)&amp;","&amp;ROUND(C56,5)&amp;")]"</f>
        <v>[TestCase(0,0)]</v>
      </c>
    </row>
    <row r="57" spans="1:5" x14ac:dyDescent="0.3">
      <c r="A57">
        <f t="shared" ref="A57:B57" si="11">A31</f>
        <v>0.78539816339744828</v>
      </c>
      <c r="B57">
        <f t="shared" si="11"/>
        <v>0.125</v>
      </c>
      <c r="C57">
        <f t="shared" ref="C57:C78" si="12">IF(ABS(C31) &gt; PI(), -SIGN(C31)*(2*PI()-ABS(C31)),C31)</f>
        <v>0.78539816339744828</v>
      </c>
      <c r="E57" t="str">
        <f t="shared" ref="E57:E78" si="13">"[TestCase("&amp;ROUND(A57,6)&amp;","&amp;ROUND(C57,5)&amp;")]"</f>
        <v>[TestCase(0.785398,0.7854)]</v>
      </c>
    </row>
    <row r="58" spans="1:5" x14ac:dyDescent="0.3">
      <c r="A58">
        <f t="shared" ref="A58:B58" si="14">A32</f>
        <v>1.5707963267948966</v>
      </c>
      <c r="B58">
        <f t="shared" si="14"/>
        <v>0.25</v>
      </c>
      <c r="C58">
        <f t="shared" si="12"/>
        <v>1.5707963267948966</v>
      </c>
      <c r="E58" t="str">
        <f t="shared" si="13"/>
        <v>[TestCase(1.570796,1.5708)]</v>
      </c>
    </row>
    <row r="59" spans="1:5" x14ac:dyDescent="0.3">
      <c r="A59">
        <f t="shared" ref="A59:B59" si="15">A33</f>
        <v>2.3561944901923448</v>
      </c>
      <c r="B59">
        <f t="shared" si="15"/>
        <v>0.375</v>
      </c>
      <c r="C59">
        <f t="shared" si="12"/>
        <v>2.3561944901923448</v>
      </c>
      <c r="E59" t="str">
        <f t="shared" si="13"/>
        <v>[TestCase(2.356194,2.35619)]</v>
      </c>
    </row>
    <row r="60" spans="1:5" x14ac:dyDescent="0.3">
      <c r="A60" s="22">
        <f t="shared" ref="A60:B60" si="16">A34</f>
        <v>3.1415926535897931</v>
      </c>
      <c r="B60">
        <f t="shared" si="16"/>
        <v>0.5</v>
      </c>
      <c r="C60">
        <f t="shared" si="12"/>
        <v>3.1415926535897931</v>
      </c>
      <c r="E60" t="str">
        <f t="shared" si="13"/>
        <v>[TestCase(3.141593,3.14159)]</v>
      </c>
    </row>
    <row r="61" spans="1:5" x14ac:dyDescent="0.3">
      <c r="A61">
        <f t="shared" ref="A61:B61" si="17">A35</f>
        <v>3.9269908169872414</v>
      </c>
      <c r="B61">
        <f t="shared" si="17"/>
        <v>0.625</v>
      </c>
      <c r="C61">
        <f t="shared" si="12"/>
        <v>-2.3561944901923448</v>
      </c>
      <c r="E61" t="str">
        <f t="shared" si="13"/>
        <v>[TestCase(3.926991,-2.35619)]</v>
      </c>
    </row>
    <row r="62" spans="1:5" x14ac:dyDescent="0.3">
      <c r="A62">
        <f t="shared" ref="A62:B62" si="18">A36</f>
        <v>4.7123889803846897</v>
      </c>
      <c r="B62">
        <f t="shared" si="18"/>
        <v>0.75</v>
      </c>
      <c r="C62">
        <f t="shared" si="12"/>
        <v>-1.5707963267948966</v>
      </c>
      <c r="E62" t="str">
        <f t="shared" si="13"/>
        <v>[TestCase(4.712389,-1.5708)]</v>
      </c>
    </row>
    <row r="63" spans="1:5" x14ac:dyDescent="0.3">
      <c r="A63">
        <f t="shared" ref="A63:B63" si="19">A37</f>
        <v>5.497787143782138</v>
      </c>
      <c r="B63">
        <f t="shared" si="19"/>
        <v>0.875</v>
      </c>
      <c r="C63">
        <f t="shared" si="12"/>
        <v>-0.78539816339744828</v>
      </c>
      <c r="E63" t="str">
        <f t="shared" si="13"/>
        <v>[TestCase(5.497787,-0.7854)]</v>
      </c>
    </row>
    <row r="64" spans="1:5" x14ac:dyDescent="0.3">
      <c r="A64">
        <f t="shared" ref="A64:B64" si="20">A38</f>
        <v>6.2831853071795862</v>
      </c>
      <c r="B64">
        <f t="shared" si="20"/>
        <v>1</v>
      </c>
      <c r="C64">
        <f t="shared" si="12"/>
        <v>0</v>
      </c>
      <c r="E64" t="str">
        <f t="shared" si="13"/>
        <v>[TestCase(6.283185,0)]</v>
      </c>
    </row>
    <row r="65" spans="1:5" x14ac:dyDescent="0.3">
      <c r="A65">
        <f t="shared" ref="A65:B65" si="21">A39</f>
        <v>10.995574287564276</v>
      </c>
      <c r="B65">
        <f t="shared" si="21"/>
        <v>1.75</v>
      </c>
      <c r="C65">
        <f t="shared" si="12"/>
        <v>-1.5707963267948966</v>
      </c>
      <c r="E65" t="str">
        <f t="shared" si="13"/>
        <v>[TestCase(10.995574,-1.5708)]</v>
      </c>
    </row>
    <row r="66" spans="1:5" x14ac:dyDescent="0.3">
      <c r="A66">
        <f t="shared" ref="A66:B66" si="22">A40</f>
        <v>12.566370614359172</v>
      </c>
      <c r="B66">
        <f t="shared" si="22"/>
        <v>2</v>
      </c>
      <c r="C66">
        <f t="shared" si="12"/>
        <v>0</v>
      </c>
      <c r="E66" t="str">
        <f t="shared" si="13"/>
        <v>[TestCase(12.566371,0)]</v>
      </c>
    </row>
    <row r="67" spans="1:5" x14ac:dyDescent="0.3">
      <c r="A67">
        <f t="shared" ref="A67:B67" si="23">A41</f>
        <v>31.415926535897931</v>
      </c>
      <c r="B67">
        <f t="shared" si="23"/>
        <v>5</v>
      </c>
      <c r="C67">
        <f t="shared" si="12"/>
        <v>0</v>
      </c>
      <c r="E67" t="str">
        <f t="shared" si="13"/>
        <v>[TestCase(31.415927,0)]</v>
      </c>
    </row>
    <row r="68" spans="1:5" x14ac:dyDescent="0.3">
      <c r="A68">
        <f t="shared" ref="A68:B68" si="24">A42</f>
        <v>-0.78539816339744828</v>
      </c>
      <c r="B68">
        <f t="shared" si="24"/>
        <v>-0.125</v>
      </c>
      <c r="C68">
        <f t="shared" si="12"/>
        <v>-0.78539816339744828</v>
      </c>
      <c r="E68" t="str">
        <f t="shared" si="13"/>
        <v>[TestCase(-0.785398,-0.7854)]</v>
      </c>
    </row>
    <row r="69" spans="1:5" x14ac:dyDescent="0.3">
      <c r="A69">
        <f t="shared" ref="A69:B69" si="25">A43</f>
        <v>-1.5707963267948966</v>
      </c>
      <c r="B69">
        <f t="shared" si="25"/>
        <v>-0.25</v>
      </c>
      <c r="C69">
        <f t="shared" si="12"/>
        <v>-1.5707963267948966</v>
      </c>
      <c r="E69" t="str">
        <f t="shared" si="13"/>
        <v>[TestCase(-1.570796,-1.5708)]</v>
      </c>
    </row>
    <row r="70" spans="1:5" x14ac:dyDescent="0.3">
      <c r="A70">
        <f t="shared" ref="A70:B70" si="26">A44</f>
        <v>-2.3561944901923448</v>
      </c>
      <c r="B70">
        <f t="shared" si="26"/>
        <v>-0.375</v>
      </c>
      <c r="C70">
        <f t="shared" si="12"/>
        <v>-2.3561944901923448</v>
      </c>
      <c r="E70" t="str">
        <f t="shared" si="13"/>
        <v>[TestCase(-2.356194,-2.35619)]</v>
      </c>
    </row>
    <row r="71" spans="1:5" x14ac:dyDescent="0.3">
      <c r="A71">
        <f t="shared" ref="A71:B71" si="27">A45</f>
        <v>-3.1415926535897931</v>
      </c>
      <c r="B71">
        <f t="shared" si="27"/>
        <v>-0.5</v>
      </c>
      <c r="C71">
        <f t="shared" si="12"/>
        <v>3.1415926535897931</v>
      </c>
      <c r="E71" t="str">
        <f t="shared" si="13"/>
        <v>[TestCase(-3.141593,3.14159)]</v>
      </c>
    </row>
    <row r="72" spans="1:5" x14ac:dyDescent="0.3">
      <c r="A72">
        <f t="shared" ref="A72:B72" si="28">A46</f>
        <v>-3.9269908169872414</v>
      </c>
      <c r="B72">
        <f t="shared" si="28"/>
        <v>-0.625</v>
      </c>
      <c r="C72">
        <f t="shared" si="12"/>
        <v>2.3561944901923448</v>
      </c>
      <c r="E72" t="str">
        <f t="shared" si="13"/>
        <v>[TestCase(-3.926991,2.35619)]</v>
      </c>
    </row>
    <row r="73" spans="1:5" x14ac:dyDescent="0.3">
      <c r="A73">
        <f t="shared" ref="A73:B73" si="29">A47</f>
        <v>-4.7123889803846897</v>
      </c>
      <c r="B73">
        <f t="shared" si="29"/>
        <v>-0.75</v>
      </c>
      <c r="C73">
        <f t="shared" si="12"/>
        <v>1.5707963267948966</v>
      </c>
      <c r="E73" t="str">
        <f t="shared" si="13"/>
        <v>[TestCase(-4.712389,1.5708)]</v>
      </c>
    </row>
    <row r="74" spans="1:5" x14ac:dyDescent="0.3">
      <c r="A74">
        <f t="shared" ref="A74:B74" si="30">A48</f>
        <v>-5.497787143782138</v>
      </c>
      <c r="B74">
        <f t="shared" si="30"/>
        <v>-0.875</v>
      </c>
      <c r="C74">
        <f t="shared" si="12"/>
        <v>0.78539816339744828</v>
      </c>
      <c r="E74" t="str">
        <f t="shared" si="13"/>
        <v>[TestCase(-5.497787,0.7854)]</v>
      </c>
    </row>
    <row r="75" spans="1:5" x14ac:dyDescent="0.3">
      <c r="A75">
        <f t="shared" ref="A75:B75" si="31">A49</f>
        <v>-6.2831853071795862</v>
      </c>
      <c r="B75">
        <f t="shared" si="31"/>
        <v>-1</v>
      </c>
      <c r="C75">
        <f t="shared" si="12"/>
        <v>0</v>
      </c>
      <c r="E75" t="str">
        <f t="shared" si="13"/>
        <v>[TestCase(-6.283185,0)]</v>
      </c>
    </row>
    <row r="76" spans="1:5" x14ac:dyDescent="0.3">
      <c r="A76">
        <f t="shared" ref="A76:B76" si="32">A50</f>
        <v>-10.995574287564276</v>
      </c>
      <c r="B76">
        <f t="shared" si="32"/>
        <v>-1.75</v>
      </c>
      <c r="C76">
        <f t="shared" si="12"/>
        <v>1.5707963267948966</v>
      </c>
      <c r="E76" t="str">
        <f t="shared" si="13"/>
        <v>[TestCase(-10.995574,1.5708)]</v>
      </c>
    </row>
    <row r="77" spans="1:5" x14ac:dyDescent="0.3">
      <c r="A77">
        <f t="shared" ref="A77:B77" si="33">A51</f>
        <v>-12.566370614359172</v>
      </c>
      <c r="B77">
        <f t="shared" si="33"/>
        <v>-2</v>
      </c>
      <c r="C77">
        <f t="shared" si="12"/>
        <v>0</v>
      </c>
      <c r="E77" t="str">
        <f t="shared" si="13"/>
        <v>[TestCase(-12.566371,0)]</v>
      </c>
    </row>
    <row r="78" spans="1:5" x14ac:dyDescent="0.3">
      <c r="A78">
        <f t="shared" ref="A78:B78" si="34">A52</f>
        <v>-31.415926535897931</v>
      </c>
      <c r="B78">
        <f t="shared" si="34"/>
        <v>-5</v>
      </c>
      <c r="C78">
        <f t="shared" si="12"/>
        <v>0</v>
      </c>
      <c r="E78" t="str">
        <f t="shared" si="13"/>
        <v>[TestCase(-31.415927,0)]</v>
      </c>
    </row>
    <row r="80" spans="1:5" s="2" customFormat="1" x14ac:dyDescent="0.3">
      <c r="A80" s="2" t="s">
        <v>138</v>
      </c>
    </row>
    <row r="81" spans="1:7" x14ac:dyDescent="0.3">
      <c r="A81" s="6" t="s">
        <v>139</v>
      </c>
      <c r="B81" s="6" t="s">
        <v>9</v>
      </c>
      <c r="C81" s="6" t="s">
        <v>10</v>
      </c>
    </row>
    <row r="82" spans="1:7" x14ac:dyDescent="0.3">
      <c r="A82">
        <v>0</v>
      </c>
      <c r="B82">
        <f>COS(A82)</f>
        <v>1</v>
      </c>
      <c r="C82">
        <f>SIN(A82)</f>
        <v>0</v>
      </c>
      <c r="E82" t="str">
        <f>"[TestCase("&amp;ROUND(A82,6)&amp;","&amp;ROUND(B82,6)&amp;","&amp;ROUND(C82,6)&amp;")]"</f>
        <v>[TestCase(0,1,0)]</v>
      </c>
    </row>
    <row r="83" spans="1:7" x14ac:dyDescent="0.3">
      <c r="A83">
        <f>PI()/4</f>
        <v>0.78539816339744828</v>
      </c>
      <c r="B83">
        <f t="shared" ref="B83:B90" si="35">COS(A83)</f>
        <v>0.70710678118654757</v>
      </c>
      <c r="C83">
        <f t="shared" ref="C83:C90" si="36">SIN(A83)</f>
        <v>0.70710678118654746</v>
      </c>
      <c r="E83" t="str">
        <f t="shared" ref="E83:E90" si="37">"[TestCase("&amp;ROUND(A83,6)&amp;","&amp;ROUND(B83,6)&amp;","&amp;ROUND(C83,6)&amp;")]"</f>
        <v>[TestCase(0.785398,0.707107,0.707107)]</v>
      </c>
    </row>
    <row r="84" spans="1:7" x14ac:dyDescent="0.3">
      <c r="A84">
        <f>PI()/2</f>
        <v>1.5707963267948966</v>
      </c>
      <c r="B84">
        <f t="shared" si="35"/>
        <v>6.1257422745431001E-17</v>
      </c>
      <c r="C84">
        <f t="shared" si="36"/>
        <v>1</v>
      </c>
      <c r="E84" t="str">
        <f t="shared" si="37"/>
        <v>[TestCase(1.570796,0,1)]</v>
      </c>
    </row>
    <row r="85" spans="1:7" x14ac:dyDescent="0.3">
      <c r="A85">
        <f>(3/4)*PI()</f>
        <v>2.3561944901923448</v>
      </c>
      <c r="B85">
        <f t="shared" si="35"/>
        <v>-0.70710678118654746</v>
      </c>
      <c r="C85">
        <f t="shared" si="36"/>
        <v>0.70710678118654757</v>
      </c>
      <c r="E85" t="str">
        <f t="shared" si="37"/>
        <v>[TestCase(2.356194,-0.707107,0.707107)]</v>
      </c>
    </row>
    <row r="86" spans="1:7" x14ac:dyDescent="0.3">
      <c r="A86">
        <f>PI()</f>
        <v>3.1415926535897931</v>
      </c>
      <c r="B86">
        <f t="shared" si="35"/>
        <v>-1</v>
      </c>
      <c r="C86">
        <f t="shared" si="36"/>
        <v>1.22514845490862E-16</v>
      </c>
      <c r="E86" t="str">
        <f t="shared" si="37"/>
        <v>[TestCase(3.141593,-1,0)]</v>
      </c>
    </row>
    <row r="87" spans="1:7" x14ac:dyDescent="0.3">
      <c r="A87">
        <f>(5/4)*PI()</f>
        <v>3.9269908169872414</v>
      </c>
      <c r="B87">
        <f t="shared" si="35"/>
        <v>-0.70710678118654768</v>
      </c>
      <c r="C87">
        <f t="shared" si="36"/>
        <v>-0.70710678118654746</v>
      </c>
      <c r="E87" t="str">
        <f t="shared" si="37"/>
        <v>[TestCase(3.926991,-0.707107,-0.707107)]</v>
      </c>
    </row>
    <row r="88" spans="1:7" x14ac:dyDescent="0.3">
      <c r="A88">
        <f>(3/2)*PI()</f>
        <v>4.7123889803846897</v>
      </c>
      <c r="B88">
        <f t="shared" si="35"/>
        <v>-1.83772268236293E-16</v>
      </c>
      <c r="C88">
        <f t="shared" si="36"/>
        <v>-1</v>
      </c>
      <c r="E88" t="str">
        <f t="shared" si="37"/>
        <v>[TestCase(4.712389,0,-1)]</v>
      </c>
    </row>
    <row r="89" spans="1:7" x14ac:dyDescent="0.3">
      <c r="A89">
        <f>(7/4)*PI()</f>
        <v>5.497787143782138</v>
      </c>
      <c r="B89">
        <f t="shared" si="35"/>
        <v>0.70710678118654735</v>
      </c>
      <c r="C89">
        <f t="shared" si="36"/>
        <v>-0.70710678118654768</v>
      </c>
      <c r="E89" t="str">
        <f t="shared" si="37"/>
        <v>[TestCase(5.497787,0.707107,-0.707107)]</v>
      </c>
    </row>
    <row r="90" spans="1:7" x14ac:dyDescent="0.3">
      <c r="A90">
        <f>2*PI()</f>
        <v>6.2831853071795862</v>
      </c>
      <c r="B90">
        <f t="shared" si="35"/>
        <v>1</v>
      </c>
      <c r="C90">
        <f t="shared" si="36"/>
        <v>-2.45029690981724E-16</v>
      </c>
      <c r="E90" t="str">
        <f t="shared" si="37"/>
        <v>[TestCase(6.283185,1,0)]</v>
      </c>
    </row>
    <row r="92" spans="1:7" s="2" customFormat="1" x14ac:dyDescent="0.3">
      <c r="A92" s="2" t="s">
        <v>140</v>
      </c>
    </row>
    <row r="93" spans="1:7" x14ac:dyDescent="0.3">
      <c r="A93" s="6" t="s">
        <v>141</v>
      </c>
      <c r="B93" s="6" t="s">
        <v>142</v>
      </c>
      <c r="C93" s="6" t="s">
        <v>143</v>
      </c>
      <c r="D93" s="6" t="s">
        <v>144</v>
      </c>
      <c r="E93" s="6" t="s">
        <v>145</v>
      </c>
    </row>
    <row r="94" spans="1:7" x14ac:dyDescent="0.3">
      <c r="A94">
        <v>1</v>
      </c>
      <c r="B94">
        <v>1</v>
      </c>
      <c r="C94">
        <v>0</v>
      </c>
      <c r="D94">
        <f>A94*COS(C94)-B94*SIN(C94)</f>
        <v>1</v>
      </c>
      <c r="E94">
        <f>A94*SIN(C94)+B94*COS(C94)</f>
        <v>1</v>
      </c>
      <c r="G94" t="str">
        <f>"[TestCase("&amp;A94&amp;","&amp;B94&amp;","&amp;ROUND(C94,6)&amp;","&amp;ROUND(D94,6)&amp;","&amp;ROUND(E94,6)&amp;")]"</f>
        <v>[TestCase(1,1,0,1,1)]</v>
      </c>
    </row>
    <row r="95" spans="1:7" x14ac:dyDescent="0.3">
      <c r="A95">
        <v>1</v>
      </c>
      <c r="B95">
        <v>1</v>
      </c>
      <c r="C95">
        <f>PI()/4</f>
        <v>0.78539816339744828</v>
      </c>
      <c r="D95">
        <f t="shared" ref="D95:D102" si="38">A95*COS(C95)-B95*SIN(C95)</f>
        <v>0</v>
      </c>
      <c r="E95">
        <f t="shared" ref="E95:E102" si="39">A95*SIN(C95)+B95*COS(C95)</f>
        <v>1.4142135623730949</v>
      </c>
      <c r="G95" t="str">
        <f t="shared" ref="G95:G102" si="40">"[TestCase("&amp;A95&amp;","&amp;B95&amp;","&amp;ROUND(C95,6)&amp;","&amp;ROUND(D95,6)&amp;","&amp;ROUND(E95,6)&amp;")]"</f>
        <v>[TestCase(1,1,0.785398,0,1.414214)]</v>
      </c>
    </row>
    <row r="96" spans="1:7" x14ac:dyDescent="0.3">
      <c r="A96">
        <v>1</v>
      </c>
      <c r="B96">
        <v>1</v>
      </c>
      <c r="C96">
        <f>PI()/2</f>
        <v>1.5707963267948966</v>
      </c>
      <c r="D96">
        <f t="shared" si="38"/>
        <v>-0.99999999999999989</v>
      </c>
      <c r="E96">
        <f t="shared" si="39"/>
        <v>1</v>
      </c>
      <c r="G96" t="str">
        <f t="shared" si="40"/>
        <v>[TestCase(1,1,1.570796,-1,1)]</v>
      </c>
    </row>
    <row r="97" spans="1:7" x14ac:dyDescent="0.3">
      <c r="A97">
        <v>1</v>
      </c>
      <c r="B97">
        <v>1</v>
      </c>
      <c r="C97">
        <f>(3/4)*PI()</f>
        <v>2.3561944901923448</v>
      </c>
      <c r="D97">
        <f t="shared" si="38"/>
        <v>-1.4142135623730949</v>
      </c>
      <c r="E97">
        <f t="shared" si="39"/>
        <v>0</v>
      </c>
      <c r="G97" t="str">
        <f t="shared" si="40"/>
        <v>[TestCase(1,1,2.356194,-1.414214,0)]</v>
      </c>
    </row>
    <row r="98" spans="1:7" x14ac:dyDescent="0.3">
      <c r="A98">
        <v>1</v>
      </c>
      <c r="B98">
        <v>1</v>
      </c>
      <c r="C98">
        <f>PI()</f>
        <v>3.1415926535897931</v>
      </c>
      <c r="D98">
        <f t="shared" si="38"/>
        <v>-1.0000000000000002</v>
      </c>
      <c r="E98">
        <f t="shared" si="39"/>
        <v>-0.99999999999999989</v>
      </c>
      <c r="G98" t="str">
        <f t="shared" si="40"/>
        <v>[TestCase(1,1,3.141593,-1,-1)]</v>
      </c>
    </row>
    <row r="99" spans="1:7" x14ac:dyDescent="0.3">
      <c r="A99">
        <v>1</v>
      </c>
      <c r="B99">
        <v>1</v>
      </c>
      <c r="C99">
        <f>(5/4)*PI()</f>
        <v>3.9269908169872414</v>
      </c>
      <c r="D99">
        <f t="shared" si="38"/>
        <v>0</v>
      </c>
      <c r="E99">
        <f t="shared" si="39"/>
        <v>-1.4142135623730951</v>
      </c>
      <c r="G99" t="str">
        <f t="shared" si="40"/>
        <v>[TestCase(1,1,3.926991,0,-1.414214)]</v>
      </c>
    </row>
    <row r="100" spans="1:7" x14ac:dyDescent="0.3">
      <c r="A100">
        <v>1</v>
      </c>
      <c r="B100">
        <v>1</v>
      </c>
      <c r="C100">
        <f>(3/2)*PI()</f>
        <v>4.7123889803846897</v>
      </c>
      <c r="D100">
        <f t="shared" si="38"/>
        <v>0.99999999999999978</v>
      </c>
      <c r="E100">
        <f t="shared" si="39"/>
        <v>-1.0000000000000002</v>
      </c>
      <c r="G100" t="str">
        <f t="shared" si="40"/>
        <v>[TestCase(1,1,4.712389,1,-1)]</v>
      </c>
    </row>
    <row r="101" spans="1:7" x14ac:dyDescent="0.3">
      <c r="A101">
        <v>1</v>
      </c>
      <c r="B101">
        <v>1</v>
      </c>
      <c r="C101">
        <f>(7/4)*PI()</f>
        <v>5.497787143782138</v>
      </c>
      <c r="D101">
        <f t="shared" si="38"/>
        <v>1.4142135623730949</v>
      </c>
      <c r="E101">
        <f t="shared" si="39"/>
        <v>0</v>
      </c>
      <c r="G101" t="str">
        <f t="shared" si="40"/>
        <v>[TestCase(1,1,5.497787,1.414214,0)]</v>
      </c>
    </row>
    <row r="102" spans="1:7" x14ac:dyDescent="0.3">
      <c r="A102">
        <v>1</v>
      </c>
      <c r="B102">
        <v>1</v>
      </c>
      <c r="C102">
        <f>2*PI()</f>
        <v>6.2831853071795862</v>
      </c>
      <c r="D102">
        <f t="shared" si="38"/>
        <v>1.0000000000000002</v>
      </c>
      <c r="E102">
        <f t="shared" si="39"/>
        <v>0.99999999999999978</v>
      </c>
      <c r="G102" t="str">
        <f t="shared" si="40"/>
        <v>[TestCase(1,1,6.283185,1,1)]</v>
      </c>
    </row>
    <row r="104" spans="1:7" s="2" customFormat="1" x14ac:dyDescent="0.3">
      <c r="A104" s="2" t="s">
        <v>6</v>
      </c>
    </row>
    <row r="105" spans="1:7" x14ac:dyDescent="0.3">
      <c r="A105" s="6" t="s">
        <v>146</v>
      </c>
      <c r="B105" s="6" t="s">
        <v>147</v>
      </c>
      <c r="C105" s="6" t="s">
        <v>139</v>
      </c>
    </row>
    <row r="106" spans="1:7" x14ac:dyDescent="0.3">
      <c r="A106">
        <f>PI()/4</f>
        <v>0.78539816339744828</v>
      </c>
      <c r="B106">
        <f>PI()/2</f>
        <v>1.5707963267948966</v>
      </c>
      <c r="C106">
        <f>A106-B106</f>
        <v>-0.78539816339744828</v>
      </c>
    </row>
    <row r="107" spans="1:7" x14ac:dyDescent="0.3">
      <c r="A107">
        <f>-PI()/4</f>
        <v>-0.78539816339744828</v>
      </c>
      <c r="B107">
        <f t="shared" ref="B107" si="41">PI()/2</f>
        <v>1.5707963267948966</v>
      </c>
      <c r="C107">
        <f t="shared" ref="C107:C113" si="42">A107-B107</f>
        <v>-2.3561944901923448</v>
      </c>
    </row>
    <row r="108" spans="1:7" x14ac:dyDescent="0.3">
      <c r="A108">
        <f t="shared" ref="A108:B111" si="43">PI()/4</f>
        <v>0.78539816339744828</v>
      </c>
      <c r="B108">
        <f>-PI()/2</f>
        <v>-1.5707963267948966</v>
      </c>
      <c r="C108">
        <f t="shared" si="42"/>
        <v>2.3561944901923448</v>
      </c>
    </row>
    <row r="109" spans="1:7" x14ac:dyDescent="0.3">
      <c r="A109">
        <f>-PI()/4</f>
        <v>-0.78539816339744828</v>
      </c>
      <c r="B109">
        <f>-PI()/2</f>
        <v>-1.5707963267948966</v>
      </c>
      <c r="C109">
        <f t="shared" si="42"/>
        <v>0.78539816339744828</v>
      </c>
    </row>
    <row r="110" spans="1:7" x14ac:dyDescent="0.3">
      <c r="A110">
        <f>PI()/2</f>
        <v>1.5707963267948966</v>
      </c>
      <c r="B110">
        <f t="shared" si="43"/>
        <v>0.78539816339744828</v>
      </c>
      <c r="C110">
        <f t="shared" si="42"/>
        <v>0.78539816339744828</v>
      </c>
    </row>
    <row r="111" spans="1:7" x14ac:dyDescent="0.3">
      <c r="A111">
        <f>-PI()/2</f>
        <v>-1.5707963267948966</v>
      </c>
      <c r="B111">
        <f t="shared" si="43"/>
        <v>0.78539816339744828</v>
      </c>
      <c r="C111">
        <f t="shared" si="42"/>
        <v>-2.3561944901923448</v>
      </c>
    </row>
    <row r="112" spans="1:7" x14ac:dyDescent="0.3">
      <c r="A112">
        <f>PI()/2</f>
        <v>1.5707963267948966</v>
      </c>
      <c r="B112">
        <f>-PI()/4</f>
        <v>-0.78539816339744828</v>
      </c>
      <c r="C112">
        <f t="shared" si="42"/>
        <v>2.3561944901923448</v>
      </c>
    </row>
    <row r="113" spans="1:3" x14ac:dyDescent="0.3">
      <c r="A113">
        <f>-PI()/2</f>
        <v>-1.5707963267948966</v>
      </c>
      <c r="B113">
        <f>-PI()/4</f>
        <v>-0.78539816339744828</v>
      </c>
      <c r="C113">
        <f t="shared" si="42"/>
        <v>-0.78539816339744828</v>
      </c>
    </row>
    <row r="115" spans="1:3" s="2" customFormat="1" x14ac:dyDescent="0.3">
      <c r="A115" s="2" t="s">
        <v>8</v>
      </c>
    </row>
    <row r="116" spans="1:3" x14ac:dyDescent="0.3">
      <c r="A116" s="6" t="s">
        <v>146</v>
      </c>
    </row>
    <row r="117" spans="1:3" x14ac:dyDescent="0.3">
      <c r="A117">
        <f t="shared" ref="A117:A120" si="44">PI()/4</f>
        <v>0.78539816339744828</v>
      </c>
    </row>
    <row r="118" spans="1:3" x14ac:dyDescent="0.3">
      <c r="A118">
        <f t="shared" si="44"/>
        <v>0.78539816339744828</v>
      </c>
      <c r="C118">
        <f>2*PI()-0.5</f>
        <v>5.7831853071795862</v>
      </c>
    </row>
    <row r="119" spans="1:3" x14ac:dyDescent="0.3">
      <c r="A119">
        <f>-PI()/4</f>
        <v>-0.78539816339744828</v>
      </c>
    </row>
    <row r="120" spans="1:3" x14ac:dyDescent="0.3">
      <c r="A120">
        <f t="shared" si="44"/>
        <v>0.78539816339744828</v>
      </c>
    </row>
    <row r="121" spans="1:3" x14ac:dyDescent="0.3">
      <c r="A121">
        <f>-PI()/4</f>
        <v>-0.78539816339744828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8FD5B-93B3-4E50-9380-18A3BF1F0024}">
  <sheetPr codeName="Sheet10"/>
  <dimension ref="A1:G12"/>
  <sheetViews>
    <sheetView workbookViewId="0">
      <selection activeCell="H24" sqref="H24"/>
    </sheetView>
  </sheetViews>
  <sheetFormatPr defaultRowHeight="14.4" x14ac:dyDescent="0.3"/>
  <cols>
    <col min="1" max="1" width="15.6640625" bestFit="1" customWidth="1"/>
    <col min="3" max="3" width="10" bestFit="1" customWidth="1"/>
    <col min="6" max="6" width="37.77734375" bestFit="1" customWidth="1"/>
  </cols>
  <sheetData>
    <row r="1" spans="1:7" s="2" customFormat="1" x14ac:dyDescent="0.3">
      <c r="A1" s="2" t="s">
        <v>151</v>
      </c>
    </row>
    <row r="2" spans="1:7" x14ac:dyDescent="0.3">
      <c r="A2" s="6" t="s">
        <v>148</v>
      </c>
      <c r="B2" s="6" t="s">
        <v>149</v>
      </c>
      <c r="C2" s="6" t="s">
        <v>150</v>
      </c>
      <c r="D2" s="6" t="s">
        <v>66</v>
      </c>
    </row>
    <row r="3" spans="1:7" x14ac:dyDescent="0.3">
      <c r="A3">
        <v>0</v>
      </c>
      <c r="B3">
        <v>1</v>
      </c>
      <c r="C3">
        <f t="shared" ref="C3:C12" si="0">B3*A3</f>
        <v>0</v>
      </c>
      <c r="D3">
        <f t="shared" ref="D3:D12" si="1">2*B3*SIN(A3/2)</f>
        <v>0</v>
      </c>
      <c r="F3" t="str">
        <f>"[TestCase("&amp;ROUND(A3,6)&amp;", "&amp;B3&amp;", "&amp;ROUND(C3,6)&amp;")]"</f>
        <v>[TestCase(0, 1, 0)]</v>
      </c>
      <c r="G3" t="str">
        <f>"[TestCase("&amp;ROUND(A3,6)&amp;", "&amp;B3&amp;", "&amp;ROUND(D3,6)&amp;")]"</f>
        <v>[TestCase(0, 1, 0)]</v>
      </c>
    </row>
    <row r="4" spans="1:7" x14ac:dyDescent="0.3">
      <c r="A4">
        <f>PI()/2</f>
        <v>1.5707963267948966</v>
      </c>
      <c r="B4">
        <v>1</v>
      </c>
      <c r="C4">
        <f t="shared" si="0"/>
        <v>1.5707963267948966</v>
      </c>
      <c r="D4">
        <f t="shared" si="1"/>
        <v>1.4142135623730949</v>
      </c>
      <c r="F4" t="str">
        <f t="shared" ref="F4:F12" si="2">"[TestCase("&amp;ROUND(A4,6)&amp;", "&amp;B4&amp;", "&amp;ROUND(C4,6)&amp;")]"</f>
        <v>[TestCase(1.570796, 1, 1.570796)]</v>
      </c>
      <c r="G4" t="str">
        <f t="shared" ref="G4:G12" si="3">"[TestCase("&amp;ROUND(A4,6)&amp;", "&amp;B4&amp;", "&amp;ROUND(D4,6)&amp;")]"</f>
        <v>[TestCase(1.570796, 1, 1.414214)]</v>
      </c>
    </row>
    <row r="5" spans="1:7" x14ac:dyDescent="0.3">
      <c r="A5">
        <f>-PI()/2</f>
        <v>-1.5707963267948966</v>
      </c>
      <c r="B5">
        <v>1</v>
      </c>
      <c r="C5">
        <f t="shared" si="0"/>
        <v>-1.5707963267948966</v>
      </c>
      <c r="D5">
        <f t="shared" si="1"/>
        <v>-1.4142135623730949</v>
      </c>
      <c r="F5" t="str">
        <f t="shared" si="2"/>
        <v>[TestCase(-1.570796, 1, -1.570796)]</v>
      </c>
      <c r="G5" t="str">
        <f t="shared" si="3"/>
        <v>[TestCase(-1.570796, 1, -1.414214)]</v>
      </c>
    </row>
    <row r="6" spans="1:7" x14ac:dyDescent="0.3">
      <c r="A6">
        <v>0</v>
      </c>
      <c r="B6">
        <v>0</v>
      </c>
      <c r="C6">
        <f t="shared" si="0"/>
        <v>0</v>
      </c>
      <c r="D6">
        <f t="shared" si="1"/>
        <v>0</v>
      </c>
      <c r="F6" t="str">
        <f t="shared" si="2"/>
        <v>[TestCase(0, 0, 0)]</v>
      </c>
      <c r="G6" t="str">
        <f t="shared" si="3"/>
        <v>[TestCase(0, 0, 0)]</v>
      </c>
    </row>
    <row r="7" spans="1:7" x14ac:dyDescent="0.3">
      <c r="A7">
        <v>0</v>
      </c>
      <c r="B7">
        <v>3</v>
      </c>
      <c r="C7">
        <f t="shared" si="0"/>
        <v>0</v>
      </c>
      <c r="D7">
        <f t="shared" si="1"/>
        <v>0</v>
      </c>
      <c r="F7" t="str">
        <f t="shared" si="2"/>
        <v>[TestCase(0, 3, 0)]</v>
      </c>
      <c r="G7" t="str">
        <f t="shared" si="3"/>
        <v>[TestCase(0, 3, 0)]</v>
      </c>
    </row>
    <row r="8" spans="1:7" x14ac:dyDescent="0.3">
      <c r="A8">
        <f>PI()/2</f>
        <v>1.5707963267948966</v>
      </c>
      <c r="B8">
        <v>3</v>
      </c>
      <c r="C8">
        <f t="shared" si="0"/>
        <v>4.7123889803846897</v>
      </c>
      <c r="D8">
        <f t="shared" si="1"/>
        <v>4.2426406871192848</v>
      </c>
      <c r="F8" t="str">
        <f t="shared" si="2"/>
        <v>[TestCase(1.570796, 3, 4.712389)]</v>
      </c>
      <c r="G8" t="str">
        <f t="shared" si="3"/>
        <v>[TestCase(1.570796, 3, 4.242641)]</v>
      </c>
    </row>
    <row r="9" spans="1:7" x14ac:dyDescent="0.3">
      <c r="A9">
        <f>-PI()/2</f>
        <v>-1.5707963267948966</v>
      </c>
      <c r="B9">
        <v>3</v>
      </c>
      <c r="C9">
        <f t="shared" si="0"/>
        <v>-4.7123889803846897</v>
      </c>
      <c r="D9">
        <f t="shared" si="1"/>
        <v>-4.2426406871192848</v>
      </c>
      <c r="F9" t="str">
        <f t="shared" si="2"/>
        <v>[TestCase(-1.570796, 3, -4.712389)]</v>
      </c>
      <c r="G9" t="str">
        <f t="shared" si="3"/>
        <v>[TestCase(-1.570796, 3, -4.242641)]</v>
      </c>
    </row>
    <row r="10" spans="1:7" x14ac:dyDescent="0.3">
      <c r="A10">
        <v>0</v>
      </c>
      <c r="B10">
        <v>-3</v>
      </c>
      <c r="C10">
        <f t="shared" si="0"/>
        <v>0</v>
      </c>
      <c r="D10">
        <f t="shared" si="1"/>
        <v>0</v>
      </c>
      <c r="F10" t="str">
        <f t="shared" si="2"/>
        <v>[TestCase(0, -3, 0)]</v>
      </c>
      <c r="G10" t="str">
        <f t="shared" si="3"/>
        <v>[TestCase(0, -3, 0)]</v>
      </c>
    </row>
    <row r="11" spans="1:7" x14ac:dyDescent="0.3">
      <c r="A11">
        <f>PI()/2</f>
        <v>1.5707963267948966</v>
      </c>
      <c r="B11">
        <v>-3</v>
      </c>
      <c r="C11">
        <f t="shared" si="0"/>
        <v>-4.7123889803846897</v>
      </c>
      <c r="D11">
        <f t="shared" si="1"/>
        <v>-4.2426406871192848</v>
      </c>
      <c r="F11" t="str">
        <f t="shared" si="2"/>
        <v>[TestCase(1.570796, -3, -4.712389)]</v>
      </c>
      <c r="G11" t="str">
        <f t="shared" si="3"/>
        <v>[TestCase(1.570796, -3, -4.242641)]</v>
      </c>
    </row>
    <row r="12" spans="1:7" x14ac:dyDescent="0.3">
      <c r="A12">
        <f>-PI()/2</f>
        <v>-1.5707963267948966</v>
      </c>
      <c r="B12">
        <v>-3</v>
      </c>
      <c r="C12">
        <f t="shared" si="0"/>
        <v>4.7123889803846897</v>
      </c>
      <c r="D12">
        <f t="shared" si="1"/>
        <v>4.2426406871192848</v>
      </c>
      <c r="F12" t="str">
        <f t="shared" si="2"/>
        <v>[TestCase(-1.570796, -3, 4.712389)]</v>
      </c>
      <c r="G12" t="str">
        <f t="shared" si="3"/>
        <v>[TestCase(-1.570796, -3, 4.242641)]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E41AE-4B4C-45FB-B105-D99E7FB8D10E}">
  <sheetPr codeName="Sheet12"/>
  <dimension ref="A1:D25"/>
  <sheetViews>
    <sheetView workbookViewId="0">
      <selection activeCell="A20" sqref="A20"/>
    </sheetView>
  </sheetViews>
  <sheetFormatPr defaultRowHeight="14.4" x14ac:dyDescent="0.3"/>
  <cols>
    <col min="3" max="4" width="10.5546875" bestFit="1" customWidth="1"/>
  </cols>
  <sheetData>
    <row r="1" spans="1:4" s="2" customFormat="1" x14ac:dyDescent="0.3">
      <c r="A1" s="2" t="s">
        <v>183</v>
      </c>
    </row>
    <row r="2" spans="1:4" x14ac:dyDescent="0.3">
      <c r="A2" s="6" t="s">
        <v>184</v>
      </c>
      <c r="B2" s="6" t="s">
        <v>185</v>
      </c>
      <c r="C2" s="6" t="s">
        <v>3</v>
      </c>
    </row>
    <row r="3" spans="1:4" x14ac:dyDescent="0.3">
      <c r="A3">
        <f>PI()</f>
        <v>3.1415926535897931</v>
      </c>
      <c r="B3">
        <f>PI()/4</f>
        <v>0.78539816339744828</v>
      </c>
      <c r="C3">
        <f>A3-B3</f>
        <v>2.3561944901923448</v>
      </c>
      <c r="D3">
        <f>(3/4)*PI()</f>
        <v>2.3561944901923448</v>
      </c>
    </row>
    <row r="4" spans="1:4" x14ac:dyDescent="0.3">
      <c r="A4">
        <f>PI()</f>
        <v>3.1415926535897931</v>
      </c>
      <c r="B4">
        <f>-PI()/4</f>
        <v>-0.78539816339744828</v>
      </c>
      <c r="C4">
        <f t="shared" ref="C4:C13" si="0">A4-B4</f>
        <v>3.9269908169872414</v>
      </c>
      <c r="D4">
        <f>(5/4)*PI()</f>
        <v>3.9269908169872414</v>
      </c>
    </row>
    <row r="5" spans="1:4" x14ac:dyDescent="0.3">
      <c r="A5">
        <f>-PI()</f>
        <v>-3.1415926535897931</v>
      </c>
      <c r="B5">
        <f>PI()/4</f>
        <v>0.78539816339744828</v>
      </c>
      <c r="C5">
        <f t="shared" si="0"/>
        <v>-3.9269908169872414</v>
      </c>
      <c r="D5">
        <f>-(5/4)*PI()</f>
        <v>-3.9269908169872414</v>
      </c>
    </row>
    <row r="6" spans="1:4" x14ac:dyDescent="0.3">
      <c r="A6">
        <f>-PI()</f>
        <v>-3.1415926535897931</v>
      </c>
      <c r="B6">
        <f>-PI()/4</f>
        <v>-0.78539816339744828</v>
      </c>
      <c r="C6">
        <f t="shared" si="0"/>
        <v>-2.3561944901923448</v>
      </c>
      <c r="D6">
        <f>-(3/4)*PI()</f>
        <v>-2.3561944901923448</v>
      </c>
    </row>
    <row r="8" spans="1:4" x14ac:dyDescent="0.3">
      <c r="A8">
        <v>45</v>
      </c>
      <c r="B8">
        <v>4</v>
      </c>
      <c r="C8">
        <f t="shared" si="0"/>
        <v>41</v>
      </c>
    </row>
    <row r="9" spans="1:4" x14ac:dyDescent="0.3">
      <c r="A9">
        <v>45</v>
      </c>
      <c r="B9">
        <v>2.2000000000000002</v>
      </c>
      <c r="C9">
        <f t="shared" si="0"/>
        <v>42.8</v>
      </c>
    </row>
    <row r="10" spans="1:4" x14ac:dyDescent="0.3">
      <c r="A10">
        <v>45</v>
      </c>
      <c r="B10">
        <v>-2.2000000000000002</v>
      </c>
      <c r="C10">
        <f t="shared" si="0"/>
        <v>47.2</v>
      </c>
    </row>
    <row r="11" spans="1:4" x14ac:dyDescent="0.3">
      <c r="A11">
        <v>-45</v>
      </c>
      <c r="B11">
        <v>4</v>
      </c>
      <c r="C11">
        <f t="shared" si="0"/>
        <v>-49</v>
      </c>
    </row>
    <row r="12" spans="1:4" x14ac:dyDescent="0.3">
      <c r="A12">
        <v>-45</v>
      </c>
      <c r="B12">
        <v>2.2000000000000002</v>
      </c>
      <c r="C12">
        <f t="shared" si="0"/>
        <v>-47.2</v>
      </c>
    </row>
    <row r="13" spans="1:4" x14ac:dyDescent="0.3">
      <c r="A13">
        <v>-45</v>
      </c>
      <c r="B13">
        <v>-2.2000000000000002</v>
      </c>
      <c r="C13">
        <f t="shared" si="0"/>
        <v>-42.8</v>
      </c>
    </row>
    <row r="15" spans="1:4" s="2" customFormat="1" x14ac:dyDescent="0.3">
      <c r="A15" s="2" t="s">
        <v>186</v>
      </c>
    </row>
    <row r="16" spans="1:4" x14ac:dyDescent="0.3">
      <c r="A16">
        <v>45</v>
      </c>
      <c r="B16">
        <v>4</v>
      </c>
      <c r="C16">
        <f>A16+B16</f>
        <v>49</v>
      </c>
    </row>
    <row r="17" spans="1:4" x14ac:dyDescent="0.3">
      <c r="A17">
        <v>45</v>
      </c>
      <c r="B17">
        <v>2.2000000000000002</v>
      </c>
      <c r="C17">
        <f t="shared" ref="C17:C21" si="1">A17+B17</f>
        <v>47.2</v>
      </c>
    </row>
    <row r="18" spans="1:4" x14ac:dyDescent="0.3">
      <c r="A18">
        <v>45</v>
      </c>
      <c r="B18">
        <v>-2.2000000000000002</v>
      </c>
      <c r="C18">
        <f t="shared" si="1"/>
        <v>42.8</v>
      </c>
    </row>
    <row r="19" spans="1:4" x14ac:dyDescent="0.3">
      <c r="A19">
        <v>-45</v>
      </c>
      <c r="B19">
        <v>4</v>
      </c>
      <c r="C19">
        <f t="shared" si="1"/>
        <v>-41</v>
      </c>
    </row>
    <row r="20" spans="1:4" x14ac:dyDescent="0.3">
      <c r="A20">
        <v>-45</v>
      </c>
      <c r="B20">
        <v>2.2000000000000002</v>
      </c>
      <c r="C20">
        <f t="shared" si="1"/>
        <v>-42.8</v>
      </c>
    </row>
    <row r="21" spans="1:4" x14ac:dyDescent="0.3">
      <c r="A21">
        <v>-45</v>
      </c>
      <c r="B21">
        <v>-2.2000000000000002</v>
      </c>
      <c r="C21">
        <f t="shared" si="1"/>
        <v>-47.2</v>
      </c>
    </row>
    <row r="23" spans="1:4" s="2" customFormat="1" x14ac:dyDescent="0.3">
      <c r="A23" s="2" t="s">
        <v>290</v>
      </c>
    </row>
    <row r="24" spans="1:4" s="6" customFormat="1" x14ac:dyDescent="0.3">
      <c r="A24" s="6" t="s">
        <v>291</v>
      </c>
      <c r="B24" s="6" t="s">
        <v>149</v>
      </c>
      <c r="C24" s="6" t="s">
        <v>22</v>
      </c>
      <c r="D24" s="6" t="s">
        <v>23</v>
      </c>
    </row>
    <row r="25" spans="1:4" x14ac:dyDescent="0.3">
      <c r="A25">
        <v>60</v>
      </c>
      <c r="B25">
        <v>2</v>
      </c>
      <c r="C25" s="31">
        <f>2*COS(RADIANS(A25))</f>
        <v>1.0000000000000002</v>
      </c>
      <c r="D25" s="22">
        <f>2*SIN(RADIANS(A25))</f>
        <v>1.7320508075688772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12607-CC50-46B5-B624-B25F930CD5D9}">
  <sheetPr codeName="Sheet13"/>
  <dimension ref="A1:T52"/>
  <sheetViews>
    <sheetView topLeftCell="A19" zoomScaleNormal="100" workbookViewId="0">
      <selection activeCell="I49" sqref="I49"/>
    </sheetView>
  </sheetViews>
  <sheetFormatPr defaultRowHeight="14.4" x14ac:dyDescent="0.3"/>
  <cols>
    <col min="2" max="2" width="9.21875" bestFit="1" customWidth="1"/>
    <col min="4" max="4" width="9.21875" bestFit="1" customWidth="1"/>
    <col min="6" max="6" width="9.21875" bestFit="1" customWidth="1"/>
    <col min="7" max="7" width="11.6640625" bestFit="1" customWidth="1"/>
    <col min="8" max="8" width="11.109375" bestFit="1" customWidth="1"/>
    <col min="9" max="9" width="11.6640625" bestFit="1" customWidth="1"/>
    <col min="10" max="10" width="11.109375" bestFit="1" customWidth="1"/>
    <col min="11" max="11" width="11.21875" bestFit="1" customWidth="1"/>
    <col min="12" max="12" width="10.6640625" bestFit="1" customWidth="1"/>
    <col min="13" max="13" width="11.21875" bestFit="1" customWidth="1"/>
    <col min="14" max="14" width="10.6640625" bestFit="1" customWidth="1"/>
  </cols>
  <sheetData>
    <row r="1" spans="1:14" s="2" customFormat="1" x14ac:dyDescent="0.3">
      <c r="A1" s="2" t="s">
        <v>187</v>
      </c>
    </row>
    <row r="2" spans="1:14" s="2" customFormat="1" x14ac:dyDescent="0.3">
      <c r="A2" s="119" t="s">
        <v>84</v>
      </c>
      <c r="B2" s="119"/>
      <c r="C2" s="118" t="s">
        <v>85</v>
      </c>
      <c r="D2" s="118"/>
      <c r="E2" s="118"/>
      <c r="F2" s="118"/>
      <c r="G2" s="120" t="s">
        <v>195</v>
      </c>
      <c r="H2" s="120"/>
      <c r="I2" s="120" t="s">
        <v>196</v>
      </c>
      <c r="J2" s="120"/>
      <c r="K2" s="120" t="s">
        <v>197</v>
      </c>
      <c r="L2" s="120"/>
      <c r="M2" s="120" t="s">
        <v>198</v>
      </c>
      <c r="N2" s="120"/>
    </row>
    <row r="3" spans="1:14" s="6" customFormat="1" x14ac:dyDescent="0.3">
      <c r="A3" s="6" t="s">
        <v>149</v>
      </c>
      <c r="B3" s="6" t="s">
        <v>188</v>
      </c>
      <c r="C3" s="6" t="s">
        <v>189</v>
      </c>
      <c r="D3" s="6" t="s">
        <v>190</v>
      </c>
      <c r="E3" s="6" t="s">
        <v>191</v>
      </c>
      <c r="F3" s="6" t="s">
        <v>192</v>
      </c>
      <c r="G3" s="6" t="s">
        <v>193</v>
      </c>
      <c r="H3" s="6" t="s">
        <v>194</v>
      </c>
      <c r="I3" s="6" t="s">
        <v>193</v>
      </c>
      <c r="J3" s="6" t="s">
        <v>194</v>
      </c>
      <c r="K3" s="6" t="s">
        <v>193</v>
      </c>
      <c r="L3" s="6" t="s">
        <v>194</v>
      </c>
      <c r="M3" s="6" t="s">
        <v>193</v>
      </c>
      <c r="N3" s="6" t="s">
        <v>194</v>
      </c>
    </row>
    <row r="4" spans="1:14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f>(E4-C4)-A4</f>
        <v>0</v>
      </c>
      <c r="H4">
        <f>(F4-D4)-B4</f>
        <v>0</v>
      </c>
      <c r="I4">
        <f>A4-(E4-C4)</f>
        <v>0</v>
      </c>
      <c r="J4">
        <f>B4-(F4-D4)</f>
        <v>0</v>
      </c>
      <c r="K4">
        <f>(E4-C4)+A4</f>
        <v>0</v>
      </c>
      <c r="L4">
        <f>(F4-D4)+B4</f>
        <v>0</v>
      </c>
      <c r="M4">
        <f>A4+(E4-C4)</f>
        <v>0</v>
      </c>
      <c r="N4">
        <f>B4+(F4-D4)</f>
        <v>0</v>
      </c>
    </row>
    <row r="5" spans="1:14" x14ac:dyDescent="0.3">
      <c r="A5">
        <v>1</v>
      </c>
      <c r="B5">
        <f>PI()/4</f>
        <v>0.78539816339744828</v>
      </c>
      <c r="C5">
        <v>5</v>
      </c>
      <c r="D5">
        <f>PI()/2</f>
        <v>1.5707963267948966</v>
      </c>
      <c r="E5">
        <v>7</v>
      </c>
      <c r="F5">
        <f>PI()</f>
        <v>3.1415926535897931</v>
      </c>
      <c r="G5">
        <f>(E5-C5)-A5</f>
        <v>1</v>
      </c>
      <c r="H5">
        <f>(F5-D5)-B5</f>
        <v>0.78539816339744828</v>
      </c>
      <c r="I5">
        <f>A5-(E5-C5)</f>
        <v>-1</v>
      </c>
      <c r="J5">
        <f>B5-(F5-D5)</f>
        <v>-0.78539816339744828</v>
      </c>
      <c r="K5">
        <f t="shared" ref="K5:K14" si="0">(E5-C5)+A5</f>
        <v>3</v>
      </c>
      <c r="L5">
        <f t="shared" ref="L5:L14" si="1">(F5-D5)+B5</f>
        <v>2.3561944901923448</v>
      </c>
      <c r="M5">
        <f t="shared" ref="M5:M14" si="2">A5+(E5-C5)</f>
        <v>3</v>
      </c>
      <c r="N5">
        <f t="shared" ref="N5:N14" si="3">B5+(F5-D5)</f>
        <v>2.3561944901923448</v>
      </c>
    </row>
    <row r="6" spans="1:14" x14ac:dyDescent="0.3">
      <c r="A6">
        <v>-1</v>
      </c>
      <c r="B6">
        <f>PI()/4</f>
        <v>0.78539816339744828</v>
      </c>
      <c r="C6">
        <v>-5</v>
      </c>
      <c r="D6">
        <f>PI()/2</f>
        <v>1.5707963267948966</v>
      </c>
      <c r="E6">
        <v>-7</v>
      </c>
      <c r="F6">
        <f>PI()</f>
        <v>3.1415926535897931</v>
      </c>
      <c r="G6" s="2">
        <f t="shared" ref="G6:G14" si="4">(E6-C6)-A6</f>
        <v>-1</v>
      </c>
      <c r="H6" s="2">
        <f t="shared" ref="H6:H14" si="5">(F6-D6)-B6</f>
        <v>0.78539816339744828</v>
      </c>
      <c r="I6" s="2">
        <f t="shared" ref="I6:I14" si="6">A6-(E6-C6)</f>
        <v>1</v>
      </c>
      <c r="J6" s="2">
        <f t="shared" ref="J6:J14" si="7">B6-(F6-D6)</f>
        <v>-0.78539816339744828</v>
      </c>
      <c r="K6">
        <f t="shared" si="0"/>
        <v>-3</v>
      </c>
      <c r="L6">
        <f t="shared" si="1"/>
        <v>2.3561944901923448</v>
      </c>
      <c r="M6">
        <f t="shared" si="2"/>
        <v>-3</v>
      </c>
      <c r="N6">
        <f t="shared" si="3"/>
        <v>2.3561944901923448</v>
      </c>
    </row>
    <row r="7" spans="1:14" x14ac:dyDescent="0.3">
      <c r="A7">
        <v>-1</v>
      </c>
      <c r="B7" s="27">
        <f>-PI()/4</f>
        <v>-0.78539816339744828</v>
      </c>
      <c r="C7">
        <v>-5</v>
      </c>
      <c r="D7" s="27">
        <f>-PI()/2</f>
        <v>-1.5707963267948966</v>
      </c>
      <c r="E7">
        <v>-7</v>
      </c>
      <c r="F7" s="27">
        <f>-PI()</f>
        <v>-3.1415926535897931</v>
      </c>
      <c r="G7">
        <f t="shared" si="4"/>
        <v>-1</v>
      </c>
      <c r="H7">
        <f t="shared" si="5"/>
        <v>-0.78539816339744828</v>
      </c>
      <c r="I7">
        <f t="shared" si="6"/>
        <v>1</v>
      </c>
      <c r="J7">
        <f t="shared" si="7"/>
        <v>0.78539816339744828</v>
      </c>
      <c r="K7">
        <f t="shared" si="0"/>
        <v>-3</v>
      </c>
      <c r="L7">
        <f t="shared" si="1"/>
        <v>-2.3561944901923448</v>
      </c>
      <c r="M7">
        <f t="shared" si="2"/>
        <v>-3</v>
      </c>
      <c r="N7">
        <f t="shared" si="3"/>
        <v>-2.3561944901923448</v>
      </c>
    </row>
    <row r="8" spans="1:14" x14ac:dyDescent="0.3">
      <c r="A8">
        <v>1</v>
      </c>
      <c r="B8" s="27">
        <f>-PI()/4</f>
        <v>-0.78539816339744828</v>
      </c>
      <c r="C8">
        <v>5</v>
      </c>
      <c r="D8" s="27">
        <f t="shared" ref="D8:D9" si="8">-PI()/2</f>
        <v>-1.5707963267948966</v>
      </c>
      <c r="E8">
        <v>7</v>
      </c>
      <c r="F8" s="27">
        <f>-PI()</f>
        <v>-3.1415926535897931</v>
      </c>
      <c r="G8">
        <f t="shared" si="4"/>
        <v>1</v>
      </c>
      <c r="H8">
        <f t="shared" si="5"/>
        <v>-0.78539816339744828</v>
      </c>
      <c r="I8">
        <f t="shared" si="6"/>
        <v>-1</v>
      </c>
      <c r="J8">
        <f t="shared" si="7"/>
        <v>0.78539816339744828</v>
      </c>
      <c r="K8">
        <f t="shared" si="0"/>
        <v>3</v>
      </c>
      <c r="L8">
        <f t="shared" si="1"/>
        <v>-2.3561944901923448</v>
      </c>
      <c r="M8">
        <f t="shared" si="2"/>
        <v>3</v>
      </c>
      <c r="N8">
        <f t="shared" si="3"/>
        <v>-2.3561944901923448</v>
      </c>
    </row>
    <row r="9" spans="1:14" x14ac:dyDescent="0.3">
      <c r="A9">
        <v>1</v>
      </c>
      <c r="B9">
        <f t="shared" ref="B9:B14" si="9">PI()/4</f>
        <v>0.78539816339744828</v>
      </c>
      <c r="C9">
        <v>-5</v>
      </c>
      <c r="D9" s="27">
        <f t="shared" si="8"/>
        <v>-1.5707963267948966</v>
      </c>
      <c r="E9">
        <v>-7</v>
      </c>
      <c r="F9" s="27">
        <f>-PI()</f>
        <v>-3.1415926535897931</v>
      </c>
      <c r="G9">
        <f t="shared" si="4"/>
        <v>-3</v>
      </c>
      <c r="H9">
        <f t="shared" si="5"/>
        <v>-2.3561944901923448</v>
      </c>
      <c r="I9">
        <f t="shared" si="6"/>
        <v>3</v>
      </c>
      <c r="J9">
        <f t="shared" si="7"/>
        <v>2.3561944901923448</v>
      </c>
      <c r="K9">
        <f t="shared" si="0"/>
        <v>-1</v>
      </c>
      <c r="L9">
        <f t="shared" si="1"/>
        <v>-0.78539816339744828</v>
      </c>
      <c r="M9">
        <f t="shared" si="2"/>
        <v>-1</v>
      </c>
      <c r="N9">
        <f t="shared" si="3"/>
        <v>-0.78539816339744828</v>
      </c>
    </row>
    <row r="10" spans="1:14" x14ac:dyDescent="0.3">
      <c r="A10">
        <v>1</v>
      </c>
      <c r="B10">
        <f t="shared" si="9"/>
        <v>0.78539816339744828</v>
      </c>
      <c r="C10">
        <v>-5</v>
      </c>
      <c r="D10">
        <f>PI()/2</f>
        <v>1.5707963267948966</v>
      </c>
      <c r="E10">
        <v>-7</v>
      </c>
      <c r="F10">
        <f>PI()</f>
        <v>3.1415926535897931</v>
      </c>
      <c r="G10">
        <f t="shared" si="4"/>
        <v>-3</v>
      </c>
      <c r="H10">
        <f t="shared" si="5"/>
        <v>0.78539816339744828</v>
      </c>
      <c r="I10">
        <f t="shared" si="6"/>
        <v>3</v>
      </c>
      <c r="J10">
        <f t="shared" si="7"/>
        <v>-0.78539816339744828</v>
      </c>
      <c r="K10">
        <f t="shared" si="0"/>
        <v>-1</v>
      </c>
      <c r="L10">
        <f t="shared" si="1"/>
        <v>2.3561944901923448</v>
      </c>
      <c r="M10">
        <f t="shared" si="2"/>
        <v>-1</v>
      </c>
      <c r="N10">
        <f t="shared" si="3"/>
        <v>2.3561944901923448</v>
      </c>
    </row>
    <row r="11" spans="1:14" x14ac:dyDescent="0.3">
      <c r="A11">
        <v>1</v>
      </c>
      <c r="B11">
        <f t="shared" si="9"/>
        <v>0.78539816339744828</v>
      </c>
      <c r="C11">
        <v>5</v>
      </c>
      <c r="D11" s="27">
        <f>-PI()/2</f>
        <v>-1.5707963267948966</v>
      </c>
      <c r="E11">
        <v>7</v>
      </c>
      <c r="F11" s="27">
        <f>-PI()</f>
        <v>-3.1415926535897931</v>
      </c>
      <c r="G11">
        <f t="shared" si="4"/>
        <v>1</v>
      </c>
      <c r="H11">
        <f t="shared" si="5"/>
        <v>-2.3561944901923448</v>
      </c>
      <c r="I11">
        <f t="shared" si="6"/>
        <v>-1</v>
      </c>
      <c r="J11">
        <f t="shared" si="7"/>
        <v>2.3561944901923448</v>
      </c>
      <c r="K11">
        <f t="shared" si="0"/>
        <v>3</v>
      </c>
      <c r="L11">
        <f t="shared" si="1"/>
        <v>-0.78539816339744828</v>
      </c>
      <c r="M11">
        <f t="shared" si="2"/>
        <v>3</v>
      </c>
      <c r="N11">
        <f t="shared" si="3"/>
        <v>-0.78539816339744828</v>
      </c>
    </row>
    <row r="12" spans="1:14" x14ac:dyDescent="0.3">
      <c r="A12">
        <v>1</v>
      </c>
      <c r="B12">
        <f t="shared" si="9"/>
        <v>0.78539816339744828</v>
      </c>
      <c r="C12">
        <v>5</v>
      </c>
      <c r="D12">
        <f t="shared" ref="D12:D14" si="10">PI()/2</f>
        <v>1.5707963267948966</v>
      </c>
      <c r="E12">
        <v>5</v>
      </c>
      <c r="F12">
        <f>PI()</f>
        <v>3.1415926535897931</v>
      </c>
      <c r="G12" s="2">
        <f t="shared" si="4"/>
        <v>-1</v>
      </c>
      <c r="H12" s="2">
        <f t="shared" si="5"/>
        <v>0.78539816339744828</v>
      </c>
      <c r="I12" s="2">
        <f t="shared" si="6"/>
        <v>1</v>
      </c>
      <c r="J12" s="2">
        <f t="shared" si="7"/>
        <v>-0.78539816339744828</v>
      </c>
      <c r="K12">
        <f t="shared" si="0"/>
        <v>1</v>
      </c>
      <c r="L12">
        <f t="shared" si="1"/>
        <v>2.3561944901923448</v>
      </c>
      <c r="M12">
        <f t="shared" si="2"/>
        <v>1</v>
      </c>
      <c r="N12">
        <f t="shared" si="3"/>
        <v>2.3561944901923448</v>
      </c>
    </row>
    <row r="13" spans="1:14" x14ac:dyDescent="0.3">
      <c r="A13">
        <v>1</v>
      </c>
      <c r="B13">
        <f t="shared" si="9"/>
        <v>0.78539816339744828</v>
      </c>
      <c r="C13">
        <v>5</v>
      </c>
      <c r="D13">
        <f t="shared" si="10"/>
        <v>1.5707963267948966</v>
      </c>
      <c r="E13">
        <v>4</v>
      </c>
      <c r="F13">
        <f>PI()</f>
        <v>3.1415926535897931</v>
      </c>
      <c r="G13">
        <f t="shared" si="4"/>
        <v>-2</v>
      </c>
      <c r="H13">
        <f t="shared" si="5"/>
        <v>0.78539816339744828</v>
      </c>
      <c r="I13">
        <f t="shared" si="6"/>
        <v>2</v>
      </c>
      <c r="J13">
        <f t="shared" si="7"/>
        <v>-0.78539816339744828</v>
      </c>
      <c r="K13">
        <f t="shared" si="0"/>
        <v>0</v>
      </c>
      <c r="L13">
        <f t="shared" si="1"/>
        <v>2.3561944901923448</v>
      </c>
      <c r="M13">
        <f t="shared" si="2"/>
        <v>0</v>
      </c>
      <c r="N13">
        <f t="shared" si="3"/>
        <v>2.3561944901923448</v>
      </c>
    </row>
    <row r="14" spans="1:14" x14ac:dyDescent="0.3">
      <c r="A14">
        <v>1.1000000000000001</v>
      </c>
      <c r="B14">
        <f t="shared" si="9"/>
        <v>0.78539816339744828</v>
      </c>
      <c r="C14">
        <v>5.5</v>
      </c>
      <c r="D14">
        <f t="shared" si="10"/>
        <v>1.5707963267948966</v>
      </c>
      <c r="E14">
        <v>4.4000000000000004</v>
      </c>
      <c r="F14">
        <f>PI()</f>
        <v>3.1415926535897931</v>
      </c>
      <c r="G14">
        <f t="shared" si="4"/>
        <v>-2.1999999999999997</v>
      </c>
      <c r="H14">
        <f t="shared" si="5"/>
        <v>0.78539816339744828</v>
      </c>
      <c r="I14">
        <f t="shared" si="6"/>
        <v>2.1999999999999997</v>
      </c>
      <c r="J14">
        <f t="shared" si="7"/>
        <v>-0.78539816339744828</v>
      </c>
      <c r="K14">
        <f t="shared" si="0"/>
        <v>0</v>
      </c>
      <c r="L14">
        <f t="shared" si="1"/>
        <v>2.3561944901923448</v>
      </c>
      <c r="M14">
        <f t="shared" si="2"/>
        <v>0</v>
      </c>
      <c r="N14">
        <f t="shared" si="3"/>
        <v>2.3561944901923448</v>
      </c>
    </row>
    <row r="16" spans="1:14" s="2" customFormat="1" x14ac:dyDescent="0.3">
      <c r="A16" s="2" t="s">
        <v>199</v>
      </c>
    </row>
    <row r="17" spans="1:20" x14ac:dyDescent="0.3">
      <c r="A17" s="6" t="s">
        <v>200</v>
      </c>
      <c r="B17" s="6" t="s">
        <v>201</v>
      </c>
      <c r="C17" s="6" t="s">
        <v>202</v>
      </c>
      <c r="D17" s="6" t="s">
        <v>203</v>
      </c>
      <c r="E17" s="6" t="s">
        <v>204</v>
      </c>
    </row>
    <row r="18" spans="1:20" x14ac:dyDescent="0.3">
      <c r="A18">
        <v>0</v>
      </c>
      <c r="B18">
        <v>0</v>
      </c>
      <c r="C18">
        <v>0</v>
      </c>
      <c r="D18">
        <v>0</v>
      </c>
      <c r="E18">
        <f>SQRT(A18^2+C18^2-2*A18*C18*COS(D18-B18))</f>
        <v>0</v>
      </c>
      <c r="G18" t="str">
        <f>"[TestCase("&amp;A18&amp;", "&amp;ROUND(B18,6)&amp;", "&amp;C18&amp;", "&amp;ROUND(D18,6)&amp;", "&amp;ROUND(E18,6)&amp;")]"</f>
        <v>[TestCase(0, 0, 0, 0, 0)]</v>
      </c>
    </row>
    <row r="19" spans="1:20" x14ac:dyDescent="0.3">
      <c r="A19">
        <v>0</v>
      </c>
      <c r="B19">
        <v>0</v>
      </c>
      <c r="C19">
        <v>0</v>
      </c>
      <c r="D19">
        <v>1</v>
      </c>
      <c r="E19">
        <f t="shared" ref="E19:E24" si="11">SQRT(A19^2+C19^2-2*A19*C19*COS(D19-B19))</f>
        <v>0</v>
      </c>
      <c r="G19" t="str">
        <f t="shared" ref="G19:G24" si="12">"[TestCase("&amp;A19&amp;", "&amp;ROUND(B19,6)&amp;", "&amp;C19&amp;", "&amp;ROUND(D19,6)&amp;", "&amp;ROUND(E19,6)&amp;")]"</f>
        <v>[TestCase(0, 0, 0, 1, 0)]</v>
      </c>
    </row>
    <row r="20" spans="1:20" x14ac:dyDescent="0.3">
      <c r="A20">
        <v>0</v>
      </c>
      <c r="B20">
        <v>0</v>
      </c>
      <c r="C20">
        <v>1</v>
      </c>
      <c r="D20">
        <v>0</v>
      </c>
      <c r="E20">
        <f t="shared" si="11"/>
        <v>1</v>
      </c>
      <c r="G20" t="str">
        <f t="shared" si="12"/>
        <v>[TestCase(0, 0, 1, 0, 1)]</v>
      </c>
    </row>
    <row r="21" spans="1:20" x14ac:dyDescent="0.3">
      <c r="A21">
        <v>1.1000000000000001</v>
      </c>
      <c r="B21">
        <f>PI()/4</f>
        <v>0.78539816339744828</v>
      </c>
      <c r="C21">
        <v>3.3</v>
      </c>
      <c r="D21">
        <f>PI()</f>
        <v>3.1415926535897931</v>
      </c>
      <c r="E21">
        <f t="shared" si="11"/>
        <v>4.1513365596412841</v>
      </c>
      <c r="G21" t="str">
        <f t="shared" si="12"/>
        <v>[TestCase(1.1, 0.785398, 3.3, 3.141593, 4.151337)]</v>
      </c>
    </row>
    <row r="22" spans="1:20" x14ac:dyDescent="0.3">
      <c r="A22">
        <v>1.1000000000000001</v>
      </c>
      <c r="B22">
        <f>-PI()/4</f>
        <v>-0.78539816339744828</v>
      </c>
      <c r="C22">
        <v>-3.3</v>
      </c>
      <c r="D22">
        <f>-PI()</f>
        <v>-3.1415926535897931</v>
      </c>
      <c r="E22">
        <f t="shared" si="11"/>
        <v>2.6393947731602534</v>
      </c>
      <c r="G22" t="str">
        <f t="shared" si="12"/>
        <v>[TestCase(1.1, -0.785398, -3.3, -3.141593, 2.639395)]</v>
      </c>
    </row>
    <row r="23" spans="1:20" x14ac:dyDescent="0.3">
      <c r="A23">
        <v>-1.1000000000000001</v>
      </c>
      <c r="B23">
        <f>-PI()/4</f>
        <v>-0.78539816339744828</v>
      </c>
      <c r="C23">
        <v>-3.3</v>
      </c>
      <c r="D23">
        <f>PI()</f>
        <v>3.1415926535897931</v>
      </c>
      <c r="E23">
        <f t="shared" si="11"/>
        <v>4.1513365596412841</v>
      </c>
      <c r="G23" t="str">
        <f t="shared" si="12"/>
        <v>[TestCase(-1.1, -0.785398, -3.3, 3.141593, 4.151337)]</v>
      </c>
    </row>
    <row r="24" spans="1:20" x14ac:dyDescent="0.3">
      <c r="A24">
        <v>-1.1000000000000001</v>
      </c>
      <c r="B24">
        <f>-PI()/4</f>
        <v>-0.78539816339744828</v>
      </c>
      <c r="C24">
        <v>3.3</v>
      </c>
      <c r="D24">
        <f>-PI()</f>
        <v>-3.1415926535897931</v>
      </c>
      <c r="E24">
        <f t="shared" si="11"/>
        <v>2.6393947731602534</v>
      </c>
      <c r="G24" t="str">
        <f t="shared" si="12"/>
        <v>[TestCase(-1.1, -0.785398, 3.3, -3.141593, 2.639395)]</v>
      </c>
    </row>
    <row r="26" spans="1:20" s="2" customFormat="1" x14ac:dyDescent="0.3">
      <c r="A26" s="2" t="s">
        <v>205</v>
      </c>
    </row>
    <row r="27" spans="1:20" s="6" customFormat="1" x14ac:dyDescent="0.3">
      <c r="A27" s="13" t="s">
        <v>218</v>
      </c>
      <c r="B27" s="18" t="s">
        <v>219</v>
      </c>
      <c r="C27" s="6" t="s">
        <v>212</v>
      </c>
      <c r="D27" s="6" t="s">
        <v>210</v>
      </c>
      <c r="E27" s="13" t="s">
        <v>213</v>
      </c>
      <c r="F27" s="18" t="s">
        <v>211</v>
      </c>
      <c r="G27" s="13" t="s">
        <v>214</v>
      </c>
      <c r="H27" s="14" t="s">
        <v>216</v>
      </c>
      <c r="I27" s="14" t="s">
        <v>217</v>
      </c>
      <c r="J27" s="18" t="s">
        <v>215</v>
      </c>
      <c r="K27" s="6" t="s">
        <v>206</v>
      </c>
      <c r="L27" s="6" t="s">
        <v>207</v>
      </c>
      <c r="M27" s="6" t="s">
        <v>208</v>
      </c>
      <c r="N27" s="6" t="s">
        <v>209</v>
      </c>
      <c r="O27" s="6" t="s">
        <v>162</v>
      </c>
      <c r="P27" s="6" t="s">
        <v>19</v>
      </c>
    </row>
    <row r="28" spans="1:20" x14ac:dyDescent="0.3">
      <c r="A28" s="38">
        <v>0</v>
      </c>
      <c r="B28" s="39">
        <v>0</v>
      </c>
      <c r="C28" s="10">
        <v>0</v>
      </c>
      <c r="D28" s="10">
        <v>0</v>
      </c>
      <c r="E28" s="38">
        <v>0</v>
      </c>
      <c r="F28" s="39">
        <v>0</v>
      </c>
      <c r="G28" s="38">
        <v>0</v>
      </c>
      <c r="H28" s="40">
        <v>0</v>
      </c>
      <c r="I28" s="40">
        <v>0</v>
      </c>
      <c r="J28" s="39">
        <v>0</v>
      </c>
      <c r="K28">
        <f t="shared" ref="K28:K42" si="13">(A28-C28)*(B28-D28)</f>
        <v>0</v>
      </c>
      <c r="L28">
        <f t="shared" ref="L28:L42" si="14">(E28-A28)*(B28-D28)</f>
        <v>0</v>
      </c>
      <c r="M28">
        <f t="shared" ref="M28:M42" si="15">(A28-C28)*(F28-B28)</f>
        <v>0</v>
      </c>
      <c r="N28">
        <f t="shared" ref="N28:N42" si="16">(E28-A28)*(F28-B28)</f>
        <v>0</v>
      </c>
      <c r="O28">
        <f t="shared" ref="O28:O42" si="17">(E28-C28)*(F28-D28)</f>
        <v>0</v>
      </c>
      <c r="P28" t="e">
        <f t="shared" ref="P28:P42" si="18">(G28*N28+H28*M28+I28*L28+J28*K28)/O28</f>
        <v>#DIV/0!</v>
      </c>
      <c r="T28" t="e">
        <f>"[TestCase("&amp;A28&amp;", "&amp;B28&amp;", "&amp;C28&amp;", "&amp;D28&amp;", "&amp;E28&amp;", "&amp;F28&amp;", "&amp;G28&amp;", "&amp;H28&amp;", "&amp;I28&amp;", "&amp;J28&amp;", "&amp;ROUND(P28,6)&amp;")]  // " &amp;Q28</f>
        <v>#DIV/0!</v>
      </c>
    </row>
    <row r="29" spans="1:20" x14ac:dyDescent="0.3">
      <c r="A29" s="38">
        <v>2.2000000000000002</v>
      </c>
      <c r="B29" s="39">
        <v>3.3</v>
      </c>
      <c r="C29" s="10">
        <v>1.1000000000000001</v>
      </c>
      <c r="D29" s="10">
        <v>2.2000000000000002</v>
      </c>
      <c r="E29" s="38">
        <v>1.1000000000000001</v>
      </c>
      <c r="F29" s="39">
        <v>6.6</v>
      </c>
      <c r="G29" s="38">
        <v>1.5</v>
      </c>
      <c r="H29" s="40">
        <v>1.5</v>
      </c>
      <c r="I29" s="40">
        <v>1.5</v>
      </c>
      <c r="J29" s="39">
        <v>1.5</v>
      </c>
      <c r="K29">
        <f t="shared" si="13"/>
        <v>1.2099999999999997</v>
      </c>
      <c r="L29">
        <f t="shared" si="14"/>
        <v>-1.2099999999999997</v>
      </c>
      <c r="M29">
        <f t="shared" si="15"/>
        <v>3.63</v>
      </c>
      <c r="N29">
        <f t="shared" si="16"/>
        <v>-3.63</v>
      </c>
      <c r="O29">
        <f t="shared" si="17"/>
        <v>0</v>
      </c>
      <c r="P29" t="e">
        <f t="shared" si="18"/>
        <v>#DIV/0!</v>
      </c>
      <c r="Q29" t="s">
        <v>232</v>
      </c>
      <c r="T29" t="e">
        <f t="shared" ref="T29:T42" si="19">"[TestCase("&amp;A29&amp;", "&amp;B29&amp;", "&amp;C29&amp;", "&amp;D29&amp;", "&amp;E29&amp;", "&amp;F29&amp;", "&amp;G29&amp;", "&amp;H29&amp;", "&amp;I29&amp;", "&amp;J29&amp;", "&amp;ROUND(P29,6)&amp;")]  // " &amp;Q29</f>
        <v>#DIV/0!</v>
      </c>
    </row>
    <row r="30" spans="1:20" x14ac:dyDescent="0.3">
      <c r="A30" s="38">
        <v>2.2000000000000002</v>
      </c>
      <c r="B30" s="39">
        <v>3.3</v>
      </c>
      <c r="C30" s="10">
        <v>1.1000000000000001</v>
      </c>
      <c r="D30" s="10">
        <v>2.2000000000000002</v>
      </c>
      <c r="E30" s="38">
        <v>4.4000000000000004</v>
      </c>
      <c r="F30" s="39">
        <v>2.2000000000000002</v>
      </c>
      <c r="G30" s="38">
        <v>1.5</v>
      </c>
      <c r="H30" s="40">
        <v>1.5</v>
      </c>
      <c r="I30" s="40">
        <v>1.5</v>
      </c>
      <c r="J30" s="39">
        <v>1.5</v>
      </c>
      <c r="K30">
        <f t="shared" si="13"/>
        <v>1.2099999999999997</v>
      </c>
      <c r="L30">
        <f t="shared" si="14"/>
        <v>2.4199999999999995</v>
      </c>
      <c r="M30">
        <f t="shared" si="15"/>
        <v>-1.2099999999999997</v>
      </c>
      <c r="N30">
        <f t="shared" si="16"/>
        <v>-2.4199999999999995</v>
      </c>
      <c r="O30">
        <f t="shared" si="17"/>
        <v>0</v>
      </c>
      <c r="P30" t="e">
        <f t="shared" si="18"/>
        <v>#DIV/0!</v>
      </c>
      <c r="Q30" t="s">
        <v>233</v>
      </c>
      <c r="T30" t="e">
        <f t="shared" si="19"/>
        <v>#DIV/0!</v>
      </c>
    </row>
    <row r="31" spans="1:20" x14ac:dyDescent="0.3">
      <c r="A31" s="38">
        <v>2.2000000000000002</v>
      </c>
      <c r="B31" s="39">
        <v>3.3</v>
      </c>
      <c r="C31" s="10">
        <v>1.1000000000000001</v>
      </c>
      <c r="D31" s="10">
        <v>2.2000000000000002</v>
      </c>
      <c r="E31" s="38">
        <v>4.4000000000000004</v>
      </c>
      <c r="F31" s="39">
        <v>6.6</v>
      </c>
      <c r="G31" s="38">
        <v>1.5</v>
      </c>
      <c r="H31" s="40">
        <v>1.5</v>
      </c>
      <c r="I31" s="40">
        <v>1.5</v>
      </c>
      <c r="J31" s="39">
        <v>1.5</v>
      </c>
      <c r="K31">
        <f t="shared" si="13"/>
        <v>1.2099999999999997</v>
      </c>
      <c r="L31">
        <f t="shared" si="14"/>
        <v>2.4199999999999995</v>
      </c>
      <c r="M31">
        <f t="shared" si="15"/>
        <v>3.63</v>
      </c>
      <c r="N31">
        <f t="shared" si="16"/>
        <v>7.26</v>
      </c>
      <c r="O31">
        <f t="shared" si="17"/>
        <v>14.52</v>
      </c>
      <c r="P31">
        <f t="shared" si="18"/>
        <v>1.5000000000000002</v>
      </c>
      <c r="Q31" t="s">
        <v>220</v>
      </c>
      <c r="T31" t="str">
        <f t="shared" si="19"/>
        <v>[TestCase(2.2, 3.3, 1.1, 2.2, 4.4, 6.6, 1.5, 1.5, 1.5, 1.5, 1.5)]  // All Corners have same value</v>
      </c>
    </row>
    <row r="32" spans="1:20" x14ac:dyDescent="0.3">
      <c r="A32" s="38">
        <v>1.1000000000000001</v>
      </c>
      <c r="B32" s="39">
        <v>2.2000000000000002</v>
      </c>
      <c r="C32" s="10">
        <v>1.1000000000000001</v>
      </c>
      <c r="D32" s="10">
        <v>2.2000000000000002</v>
      </c>
      <c r="E32" s="38">
        <v>4.4000000000000004</v>
      </c>
      <c r="F32" s="39">
        <v>6.6</v>
      </c>
      <c r="G32" s="38">
        <v>1</v>
      </c>
      <c r="H32" s="40">
        <v>2</v>
      </c>
      <c r="I32" s="40">
        <v>3</v>
      </c>
      <c r="J32" s="39">
        <v>4</v>
      </c>
      <c r="K32">
        <f t="shared" si="13"/>
        <v>0</v>
      </c>
      <c r="L32">
        <f t="shared" si="14"/>
        <v>0</v>
      </c>
      <c r="M32">
        <f t="shared" si="15"/>
        <v>0</v>
      </c>
      <c r="N32">
        <f t="shared" si="16"/>
        <v>14.52</v>
      </c>
      <c r="O32">
        <f t="shared" si="17"/>
        <v>14.52</v>
      </c>
      <c r="P32">
        <f t="shared" si="18"/>
        <v>1</v>
      </c>
      <c r="Q32" t="s">
        <v>224</v>
      </c>
      <c r="T32" t="str">
        <f t="shared" si="19"/>
        <v>[TestCase(1.1, 2.2, 1.1, 2.2, 4.4, 6.6, 1, 2, 3, 4, 1)]  // Pt ii</v>
      </c>
    </row>
    <row r="33" spans="1:20" x14ac:dyDescent="0.3">
      <c r="A33" s="38">
        <v>4.4000000000000004</v>
      </c>
      <c r="B33" s="39">
        <v>6.6</v>
      </c>
      <c r="C33" s="10">
        <v>1.1000000000000001</v>
      </c>
      <c r="D33" s="10">
        <v>2.2000000000000002</v>
      </c>
      <c r="E33" s="38">
        <v>4.4000000000000004</v>
      </c>
      <c r="F33" s="39">
        <v>6.6</v>
      </c>
      <c r="G33" s="38">
        <v>1</v>
      </c>
      <c r="H33" s="40">
        <v>2</v>
      </c>
      <c r="I33" s="40">
        <v>3</v>
      </c>
      <c r="J33" s="39">
        <v>4</v>
      </c>
      <c r="K33">
        <f t="shared" si="13"/>
        <v>14.52</v>
      </c>
      <c r="L33">
        <f t="shared" si="14"/>
        <v>0</v>
      </c>
      <c r="M33">
        <f t="shared" si="15"/>
        <v>0</v>
      </c>
      <c r="N33">
        <f t="shared" si="16"/>
        <v>0</v>
      </c>
      <c r="O33">
        <f t="shared" si="17"/>
        <v>14.52</v>
      </c>
      <c r="P33">
        <f t="shared" si="18"/>
        <v>4</v>
      </c>
      <c r="Q33" t="s">
        <v>225</v>
      </c>
      <c r="T33" t="str">
        <f t="shared" si="19"/>
        <v>[TestCase(4.4, 6.6, 1.1, 2.2, 4.4, 6.6, 1, 2, 3, 4, 4)]  // Pt jj</v>
      </c>
    </row>
    <row r="34" spans="1:20" x14ac:dyDescent="0.3">
      <c r="A34" s="38">
        <v>1.1000000000000001</v>
      </c>
      <c r="B34" s="39">
        <v>6.6</v>
      </c>
      <c r="C34" s="10">
        <v>1.1000000000000001</v>
      </c>
      <c r="D34" s="10">
        <v>2.2000000000000002</v>
      </c>
      <c r="E34" s="38">
        <v>4.4000000000000004</v>
      </c>
      <c r="F34" s="39">
        <v>6.6</v>
      </c>
      <c r="G34" s="38">
        <v>1</v>
      </c>
      <c r="H34" s="40">
        <v>2</v>
      </c>
      <c r="I34" s="40">
        <v>3</v>
      </c>
      <c r="J34" s="39">
        <v>4</v>
      </c>
      <c r="K34">
        <f t="shared" si="13"/>
        <v>0</v>
      </c>
      <c r="L34">
        <f t="shared" si="14"/>
        <v>14.52</v>
      </c>
      <c r="M34">
        <f t="shared" si="15"/>
        <v>0</v>
      </c>
      <c r="N34">
        <f t="shared" si="16"/>
        <v>0</v>
      </c>
      <c r="O34">
        <f t="shared" si="17"/>
        <v>14.52</v>
      </c>
      <c r="P34">
        <f t="shared" si="18"/>
        <v>3.0000000000000004</v>
      </c>
      <c r="Q34" t="s">
        <v>226</v>
      </c>
      <c r="T34" t="str">
        <f t="shared" si="19"/>
        <v>[TestCase(1.1, 6.6, 1.1, 2.2, 4.4, 6.6, 1, 2, 3, 4, 3)]  // Pt ij</v>
      </c>
    </row>
    <row r="35" spans="1:20" x14ac:dyDescent="0.3">
      <c r="A35" s="38">
        <v>4.4000000000000004</v>
      </c>
      <c r="B35" s="39">
        <v>2.2000000000000002</v>
      </c>
      <c r="C35" s="10">
        <v>1.1000000000000001</v>
      </c>
      <c r="D35" s="10">
        <v>2.2000000000000002</v>
      </c>
      <c r="E35" s="38">
        <v>4.4000000000000004</v>
      </c>
      <c r="F35" s="39">
        <v>6.6</v>
      </c>
      <c r="G35" s="38">
        <v>1</v>
      </c>
      <c r="H35" s="40">
        <v>2</v>
      </c>
      <c r="I35" s="40">
        <v>3</v>
      </c>
      <c r="J35" s="39">
        <v>4</v>
      </c>
      <c r="K35">
        <f t="shared" si="13"/>
        <v>0</v>
      </c>
      <c r="L35">
        <f t="shared" si="14"/>
        <v>0</v>
      </c>
      <c r="M35">
        <f t="shared" si="15"/>
        <v>14.52</v>
      </c>
      <c r="N35">
        <f t="shared" si="16"/>
        <v>0</v>
      </c>
      <c r="O35">
        <f t="shared" si="17"/>
        <v>14.52</v>
      </c>
      <c r="P35">
        <f t="shared" si="18"/>
        <v>2</v>
      </c>
      <c r="Q35" t="s">
        <v>227</v>
      </c>
      <c r="T35" t="str">
        <f t="shared" si="19"/>
        <v>[TestCase(4.4, 2.2, 1.1, 2.2, 4.4, 6.6, 1, 2, 3, 4, 2)]  // Pt ji</v>
      </c>
    </row>
    <row r="36" spans="1:20" x14ac:dyDescent="0.3">
      <c r="A36" s="38">
        <f>0.5*(E36-C36)+C36</f>
        <v>2.75</v>
      </c>
      <c r="B36" s="39">
        <v>2.2000000000000002</v>
      </c>
      <c r="C36" s="10">
        <v>1.1000000000000001</v>
      </c>
      <c r="D36" s="10">
        <v>2.2000000000000002</v>
      </c>
      <c r="E36" s="38">
        <v>4.4000000000000004</v>
      </c>
      <c r="F36" s="39">
        <v>6.6</v>
      </c>
      <c r="G36" s="38">
        <v>1</v>
      </c>
      <c r="H36" s="40">
        <v>2</v>
      </c>
      <c r="I36" s="40">
        <v>3</v>
      </c>
      <c r="J36" s="39">
        <v>4</v>
      </c>
      <c r="K36">
        <f t="shared" si="13"/>
        <v>0</v>
      </c>
      <c r="L36">
        <f t="shared" si="14"/>
        <v>0</v>
      </c>
      <c r="M36">
        <f t="shared" si="15"/>
        <v>7.2599999999999989</v>
      </c>
      <c r="N36">
        <f t="shared" si="16"/>
        <v>7.2600000000000007</v>
      </c>
      <c r="O36">
        <f t="shared" si="17"/>
        <v>14.52</v>
      </c>
      <c r="P36" s="3">
        <f t="shared" si="18"/>
        <v>1.4999999999999998</v>
      </c>
      <c r="Q36" t="s">
        <v>221</v>
      </c>
      <c r="T36" t="str">
        <f t="shared" si="19"/>
        <v>[TestCase(2.75, 2.2, 1.1, 2.2, 4.4, 6.6, 1, 2, 3, 4, 1.5)]  // Top Edge</v>
      </c>
    </row>
    <row r="37" spans="1:20" x14ac:dyDescent="0.3">
      <c r="A37" s="38">
        <f>0.5*(E37-C37)+C37</f>
        <v>2.75</v>
      </c>
      <c r="B37" s="39">
        <v>6.6</v>
      </c>
      <c r="C37" s="10">
        <v>1.1000000000000001</v>
      </c>
      <c r="D37" s="10">
        <v>2.2000000000000002</v>
      </c>
      <c r="E37" s="38">
        <v>4.4000000000000004</v>
      </c>
      <c r="F37" s="39">
        <v>6.6</v>
      </c>
      <c r="G37" s="38">
        <v>1</v>
      </c>
      <c r="H37" s="40">
        <v>2</v>
      </c>
      <c r="I37" s="40">
        <v>3</v>
      </c>
      <c r="J37" s="39">
        <v>4</v>
      </c>
      <c r="K37">
        <f t="shared" si="13"/>
        <v>7.2599999999999989</v>
      </c>
      <c r="L37">
        <f t="shared" si="14"/>
        <v>7.2600000000000007</v>
      </c>
      <c r="M37">
        <f t="shared" si="15"/>
        <v>0</v>
      </c>
      <c r="N37">
        <f t="shared" si="16"/>
        <v>0</v>
      </c>
      <c r="O37">
        <f t="shared" si="17"/>
        <v>14.52</v>
      </c>
      <c r="P37" s="3">
        <f t="shared" si="18"/>
        <v>3.4999999999999996</v>
      </c>
      <c r="Q37" t="s">
        <v>231</v>
      </c>
      <c r="T37" t="str">
        <f t="shared" si="19"/>
        <v>[TestCase(2.75, 6.6, 1.1, 2.2, 4.4, 6.6, 1, 2, 3, 4, 3.5)]  // Bottom Edge</v>
      </c>
    </row>
    <row r="38" spans="1:20" x14ac:dyDescent="0.3">
      <c r="A38" s="38">
        <v>1.1000000000000001</v>
      </c>
      <c r="B38" s="39">
        <f>0.5*(F38-D38)+D38</f>
        <v>4.4000000000000004</v>
      </c>
      <c r="C38" s="10">
        <v>1.1000000000000001</v>
      </c>
      <c r="D38" s="10">
        <v>2.2000000000000002</v>
      </c>
      <c r="E38" s="38">
        <v>4.4000000000000004</v>
      </c>
      <c r="F38" s="39">
        <v>6.6</v>
      </c>
      <c r="G38" s="38">
        <v>1</v>
      </c>
      <c r="H38" s="40">
        <v>2</v>
      </c>
      <c r="I38" s="40">
        <v>3</v>
      </c>
      <c r="J38" s="39">
        <v>4</v>
      </c>
      <c r="K38">
        <f t="shared" si="13"/>
        <v>0</v>
      </c>
      <c r="L38">
        <f t="shared" si="14"/>
        <v>7.2600000000000016</v>
      </c>
      <c r="M38">
        <f t="shared" si="15"/>
        <v>0</v>
      </c>
      <c r="N38">
        <f t="shared" si="16"/>
        <v>7.259999999999998</v>
      </c>
      <c r="O38">
        <f t="shared" si="17"/>
        <v>14.52</v>
      </c>
      <c r="P38" s="3">
        <f t="shared" si="18"/>
        <v>2.0000000000000004</v>
      </c>
      <c r="Q38" t="s">
        <v>222</v>
      </c>
      <c r="T38" t="str">
        <f t="shared" si="19"/>
        <v>[TestCase(1.1, 4.4, 1.1, 2.2, 4.4, 6.6, 1, 2, 3, 4, 2)]  // Left Edge</v>
      </c>
    </row>
    <row r="39" spans="1:20" x14ac:dyDescent="0.3">
      <c r="A39" s="38">
        <v>4.4000000000000004</v>
      </c>
      <c r="B39" s="39">
        <f>0.5*(F39-D39)+D39</f>
        <v>4.4000000000000004</v>
      </c>
      <c r="C39" s="10">
        <v>1.1000000000000001</v>
      </c>
      <c r="D39" s="10">
        <v>2.2000000000000002</v>
      </c>
      <c r="E39" s="38">
        <v>4.4000000000000004</v>
      </c>
      <c r="F39" s="39">
        <v>6.6</v>
      </c>
      <c r="G39" s="38">
        <v>1</v>
      </c>
      <c r="H39" s="40">
        <v>2</v>
      </c>
      <c r="I39" s="40">
        <v>3</v>
      </c>
      <c r="J39" s="39">
        <v>4</v>
      </c>
      <c r="K39">
        <f t="shared" si="13"/>
        <v>7.2600000000000016</v>
      </c>
      <c r="L39">
        <f t="shared" si="14"/>
        <v>0</v>
      </c>
      <c r="M39">
        <f t="shared" si="15"/>
        <v>7.259999999999998</v>
      </c>
      <c r="N39">
        <f t="shared" si="16"/>
        <v>0</v>
      </c>
      <c r="O39">
        <f t="shared" si="17"/>
        <v>14.52</v>
      </c>
      <c r="P39" s="3">
        <f t="shared" si="18"/>
        <v>3.0000000000000004</v>
      </c>
      <c r="Q39" t="s">
        <v>223</v>
      </c>
      <c r="T39" t="str">
        <f t="shared" si="19"/>
        <v>[TestCase(4.4, 4.4, 1.1, 2.2, 4.4, 6.6, 1, 2, 3, 4, 3)]  // Right Edge</v>
      </c>
    </row>
    <row r="40" spans="1:20" x14ac:dyDescent="0.3">
      <c r="A40" s="38">
        <f>0.5*(E40-C40)+C40</f>
        <v>2.75</v>
      </c>
      <c r="B40" s="39">
        <f>0.5*(F40-D40)+D40</f>
        <v>4.4000000000000004</v>
      </c>
      <c r="C40" s="10">
        <v>1.1000000000000001</v>
      </c>
      <c r="D40" s="10">
        <v>2.2000000000000002</v>
      </c>
      <c r="E40" s="38">
        <v>4.4000000000000004</v>
      </c>
      <c r="F40" s="39">
        <v>6.6</v>
      </c>
      <c r="G40" s="38">
        <v>1.5</v>
      </c>
      <c r="H40" s="40">
        <v>1.5</v>
      </c>
      <c r="I40" s="40">
        <v>2.5</v>
      </c>
      <c r="J40" s="39">
        <v>2.5</v>
      </c>
      <c r="K40">
        <f t="shared" si="13"/>
        <v>3.63</v>
      </c>
      <c r="L40">
        <f t="shared" si="14"/>
        <v>3.6300000000000012</v>
      </c>
      <c r="M40">
        <f t="shared" si="15"/>
        <v>3.6299999999999986</v>
      </c>
      <c r="N40">
        <f t="shared" si="16"/>
        <v>3.6299999999999994</v>
      </c>
      <c r="O40">
        <f t="shared" si="17"/>
        <v>14.52</v>
      </c>
      <c r="P40">
        <f t="shared" si="18"/>
        <v>2</v>
      </c>
      <c r="Q40" t="s">
        <v>228</v>
      </c>
      <c r="T40" t="str">
        <f t="shared" si="19"/>
        <v>[TestCase(2.75, 4.4, 1.1, 2.2, 4.4, 6.6, 1.5, 1.5, 2.5, 2.5, 2)]  // Center of plane sloped along rows</v>
      </c>
    </row>
    <row r="41" spans="1:20" x14ac:dyDescent="0.3">
      <c r="A41" s="38">
        <f>0.5*(E41-C41)+C41</f>
        <v>2.75</v>
      </c>
      <c r="B41" s="39">
        <f>0.5*(F41-D41)+D41</f>
        <v>4.4000000000000004</v>
      </c>
      <c r="C41" s="10">
        <v>1.1000000000000001</v>
      </c>
      <c r="D41" s="10">
        <v>2.2000000000000002</v>
      </c>
      <c r="E41" s="38">
        <v>4.4000000000000004</v>
      </c>
      <c r="F41" s="39">
        <v>6.6</v>
      </c>
      <c r="G41" s="38">
        <v>1.5</v>
      </c>
      <c r="H41" s="40">
        <v>3.5</v>
      </c>
      <c r="I41" s="40">
        <v>1.5</v>
      </c>
      <c r="J41" s="39">
        <v>3.5</v>
      </c>
      <c r="K41">
        <f t="shared" si="13"/>
        <v>3.63</v>
      </c>
      <c r="L41">
        <f t="shared" si="14"/>
        <v>3.6300000000000012</v>
      </c>
      <c r="M41">
        <f t="shared" si="15"/>
        <v>3.6299999999999986</v>
      </c>
      <c r="N41">
        <f t="shared" si="16"/>
        <v>3.6299999999999994</v>
      </c>
      <c r="O41">
        <f t="shared" si="17"/>
        <v>14.52</v>
      </c>
      <c r="P41">
        <f t="shared" si="18"/>
        <v>2.5</v>
      </c>
      <c r="Q41" t="s">
        <v>229</v>
      </c>
      <c r="T41" t="str">
        <f t="shared" si="19"/>
        <v>[TestCase(2.75, 4.4, 1.1, 2.2, 4.4, 6.6, 1.5, 3.5, 1.5, 3.5, 2.5)]  // Center of plane sloped along columns</v>
      </c>
    </row>
    <row r="42" spans="1:20" x14ac:dyDescent="0.3">
      <c r="A42" s="38">
        <v>2.2000000000000002</v>
      </c>
      <c r="B42" s="39">
        <v>3.3</v>
      </c>
      <c r="C42" s="10">
        <v>1.1000000000000001</v>
      </c>
      <c r="D42" s="10">
        <v>2.2000000000000002</v>
      </c>
      <c r="E42" s="38">
        <v>4.4000000000000004</v>
      </c>
      <c r="F42" s="39">
        <v>6.6</v>
      </c>
      <c r="G42" s="38">
        <v>1.1000000000000001</v>
      </c>
      <c r="H42" s="40">
        <v>2.2000000000000002</v>
      </c>
      <c r="I42" s="40">
        <v>3.3</v>
      </c>
      <c r="J42" s="39">
        <v>4.4000000000000004</v>
      </c>
      <c r="K42">
        <f t="shared" si="13"/>
        <v>1.2099999999999997</v>
      </c>
      <c r="L42">
        <f t="shared" si="14"/>
        <v>2.4199999999999995</v>
      </c>
      <c r="M42">
        <f t="shared" si="15"/>
        <v>3.63</v>
      </c>
      <c r="N42">
        <f t="shared" si="16"/>
        <v>7.26</v>
      </c>
      <c r="O42">
        <f t="shared" si="17"/>
        <v>14.52</v>
      </c>
      <c r="P42">
        <f t="shared" si="18"/>
        <v>2.0166666666666666</v>
      </c>
      <c r="Q42" t="s">
        <v>230</v>
      </c>
      <c r="T42" t="str">
        <f t="shared" si="19"/>
        <v>[TestCase(2.2, 3.3, 1.1, 2.2, 4.4, 6.6, 1.1, 2.2, 3.3, 4.4, 2.016667)]  // All corners have different value, point not centered</v>
      </c>
    </row>
    <row r="44" spans="1:20" s="2" customFormat="1" x14ac:dyDescent="0.3">
      <c r="A44" s="2" t="s">
        <v>234</v>
      </c>
    </row>
    <row r="45" spans="1:20" x14ac:dyDescent="0.3">
      <c r="A45" s="6" t="s">
        <v>23</v>
      </c>
      <c r="B45" s="6" t="s">
        <v>125</v>
      </c>
      <c r="C45" s="6" t="s">
        <v>126</v>
      </c>
      <c r="D45" s="6" t="s">
        <v>127</v>
      </c>
      <c r="E45" s="6" t="s">
        <v>128</v>
      </c>
      <c r="F45" s="6" t="s">
        <v>22</v>
      </c>
    </row>
    <row r="46" spans="1:20" x14ac:dyDescent="0.3">
      <c r="A46">
        <v>3</v>
      </c>
      <c r="B46">
        <v>2</v>
      </c>
      <c r="C46">
        <v>3</v>
      </c>
      <c r="D46">
        <v>2</v>
      </c>
      <c r="E46">
        <v>3</v>
      </c>
      <c r="F46" t="e">
        <f>(A46-C46)*((D46-B46)/(E46-C46))+B46</f>
        <v>#DIV/0!</v>
      </c>
      <c r="G46" t="s">
        <v>238</v>
      </c>
    </row>
    <row r="47" spans="1:20" x14ac:dyDescent="0.3">
      <c r="A47">
        <v>2</v>
      </c>
      <c r="B47">
        <v>2</v>
      </c>
      <c r="C47">
        <v>3</v>
      </c>
      <c r="D47">
        <v>6</v>
      </c>
      <c r="E47">
        <v>3</v>
      </c>
      <c r="F47" t="e">
        <f>(A47-C47)*((D47-B47)/(E47-C47))+B47</f>
        <v>#DIV/0!</v>
      </c>
      <c r="G47" t="s">
        <v>240</v>
      </c>
    </row>
    <row r="48" spans="1:20" x14ac:dyDescent="0.3">
      <c r="A48">
        <v>3</v>
      </c>
      <c r="B48">
        <v>2</v>
      </c>
      <c r="C48">
        <v>3</v>
      </c>
      <c r="D48">
        <v>6</v>
      </c>
      <c r="E48">
        <v>3</v>
      </c>
      <c r="F48" t="e">
        <f>(A48-C48)*((D48-B48)/(E48-C48))+B48</f>
        <v>#DIV/0!</v>
      </c>
      <c r="G48" t="s">
        <v>241</v>
      </c>
    </row>
    <row r="49" spans="1:9" x14ac:dyDescent="0.3">
      <c r="A49">
        <v>3</v>
      </c>
      <c r="B49">
        <v>2</v>
      </c>
      <c r="C49">
        <v>3</v>
      </c>
      <c r="D49">
        <v>2</v>
      </c>
      <c r="E49">
        <v>10</v>
      </c>
      <c r="F49">
        <f>(A49-C49)*((D49-B49)/(E49-C49))+B49</f>
        <v>2</v>
      </c>
      <c r="G49" t="s">
        <v>235</v>
      </c>
      <c r="I49" t="str">
        <f>"[TestCase("&amp;A49&amp;", "&amp;B49&amp;", "&amp;C49&amp;", "&amp;D49&amp;", "&amp;E49&amp;", "&amp;ROUND(F49,6)&amp;")]  // " &amp;G49</f>
        <v>[TestCase(3, 2, 3, 2, 10, 2)]  // vertical line</v>
      </c>
    </row>
    <row r="50" spans="1:9" x14ac:dyDescent="0.3">
      <c r="A50">
        <v>4</v>
      </c>
      <c r="B50">
        <v>2</v>
      </c>
      <c r="C50">
        <v>3</v>
      </c>
      <c r="D50">
        <v>5</v>
      </c>
      <c r="E50">
        <v>6</v>
      </c>
      <c r="F50">
        <f t="shared" ref="F50:F52" si="20">(A50-C50)*((D50-B50)/(E50-C50))+B50</f>
        <v>3</v>
      </c>
      <c r="G50" t="s">
        <v>236</v>
      </c>
      <c r="I50" t="str">
        <f t="shared" ref="I50:I52" si="21">"[TestCase("&amp;A50&amp;", "&amp;B50&amp;", "&amp;C50&amp;", "&amp;D50&amp;", "&amp;E50&amp;", "&amp;ROUND(F50,6)&amp;")]  // " &amp;G50</f>
        <v>[TestCase(4, 2, 3, 5, 6, 3)]  // within points</v>
      </c>
    </row>
    <row r="51" spans="1:9" x14ac:dyDescent="0.3">
      <c r="A51">
        <v>7</v>
      </c>
      <c r="B51">
        <v>2</v>
      </c>
      <c r="C51">
        <v>3</v>
      </c>
      <c r="D51">
        <v>5</v>
      </c>
      <c r="E51">
        <v>6</v>
      </c>
      <c r="F51">
        <f t="shared" si="20"/>
        <v>6</v>
      </c>
      <c r="G51" t="s">
        <v>237</v>
      </c>
      <c r="I51" t="str">
        <f t="shared" si="21"/>
        <v>[TestCase(7, 2, 3, 5, 6, 6)]  // outside of points</v>
      </c>
    </row>
    <row r="52" spans="1:9" x14ac:dyDescent="0.3">
      <c r="A52">
        <v>-1</v>
      </c>
      <c r="B52">
        <v>2</v>
      </c>
      <c r="C52">
        <v>3</v>
      </c>
      <c r="D52">
        <v>-2</v>
      </c>
      <c r="E52">
        <v>-3</v>
      </c>
      <c r="F52">
        <f t="shared" si="20"/>
        <v>-0.66666666666666652</v>
      </c>
      <c r="G52" t="s">
        <v>239</v>
      </c>
      <c r="I52" t="str">
        <f t="shared" si="21"/>
        <v>[TestCase(-1, 2, 3, -2, -3, -0.666667)]  // negative slope</v>
      </c>
    </row>
  </sheetData>
  <mergeCells count="6">
    <mergeCell ref="M2:N2"/>
    <mergeCell ref="I2:J2"/>
    <mergeCell ref="G2:H2"/>
    <mergeCell ref="A2:B2"/>
    <mergeCell ref="C2:F2"/>
    <mergeCell ref="K2:L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FA055-934B-455A-8520-3BB799CD4487}">
  <dimension ref="A1:Y53"/>
  <sheetViews>
    <sheetView topLeftCell="A4" workbookViewId="0">
      <selection activeCell="P33" sqref="P33"/>
    </sheetView>
  </sheetViews>
  <sheetFormatPr defaultRowHeight="14.4" x14ac:dyDescent="0.3"/>
  <cols>
    <col min="7" max="7" width="10.109375" customWidth="1"/>
    <col min="8" max="8" width="10.33203125" customWidth="1"/>
    <col min="10" max="10" width="10.109375" customWidth="1"/>
    <col min="11" max="11" width="9.21875" bestFit="1" customWidth="1"/>
  </cols>
  <sheetData>
    <row r="1" spans="1:25" s="2" customFormat="1" x14ac:dyDescent="0.3">
      <c r="A1" s="2" t="s">
        <v>319</v>
      </c>
    </row>
    <row r="2" spans="1:25" s="6" customFormat="1" x14ac:dyDescent="0.3">
      <c r="B2" s="6" t="s">
        <v>22</v>
      </c>
      <c r="C2" s="6" t="s">
        <v>23</v>
      </c>
      <c r="D2" s="6" t="s">
        <v>125</v>
      </c>
      <c r="E2" s="6" t="s">
        <v>126</v>
      </c>
      <c r="F2" s="6" t="s">
        <v>321</v>
      </c>
      <c r="G2" s="6" t="s">
        <v>322</v>
      </c>
      <c r="H2" s="6" t="s">
        <v>324</v>
      </c>
    </row>
    <row r="3" spans="1:25" x14ac:dyDescent="0.3">
      <c r="A3" t="s">
        <v>320</v>
      </c>
      <c r="B3">
        <v>2.5499999999999998</v>
      </c>
      <c r="C3">
        <v>3.85</v>
      </c>
      <c r="D3">
        <v>4</v>
      </c>
      <c r="E3">
        <v>6</v>
      </c>
      <c r="F3">
        <f>D3/B3</f>
        <v>1.5686274509803924</v>
      </c>
      <c r="G3">
        <f>E3/C3</f>
        <v>1.5584415584415585</v>
      </c>
      <c r="H3">
        <f>AVERAGE(F3:G3)</f>
        <v>1.5635345047109754</v>
      </c>
      <c r="I3" t="s">
        <v>323</v>
      </c>
    </row>
    <row r="4" spans="1:25" x14ac:dyDescent="0.3">
      <c r="A4" t="s">
        <v>325</v>
      </c>
      <c r="B4">
        <v>4.5</v>
      </c>
      <c r="C4">
        <v>0.9</v>
      </c>
      <c r="D4">
        <f>B4*$H$3</f>
        <v>7.0359052711993897</v>
      </c>
      <c r="E4">
        <f>C4*$H$3</f>
        <v>1.4071810542398779</v>
      </c>
    </row>
    <row r="5" spans="1:25" x14ac:dyDescent="0.3">
      <c r="A5" t="s">
        <v>326</v>
      </c>
      <c r="B5">
        <v>2.2000000000000002</v>
      </c>
      <c r="C5">
        <v>1.4</v>
      </c>
      <c r="D5">
        <f>B5*$H$3</f>
        <v>3.4397759103641463</v>
      </c>
      <c r="E5">
        <f>C5*$H$3</f>
        <v>2.1889483065953654</v>
      </c>
    </row>
    <row r="8" spans="1:25" s="2" customFormat="1" x14ac:dyDescent="0.3">
      <c r="A8" s="2" t="s">
        <v>436</v>
      </c>
    </row>
    <row r="9" spans="1:25" s="6" customFormat="1" x14ac:dyDescent="0.3">
      <c r="A9" s="121" t="s">
        <v>438</v>
      </c>
      <c r="B9" s="121"/>
      <c r="C9" s="121" t="s">
        <v>437</v>
      </c>
      <c r="D9" s="121"/>
      <c r="E9" s="121" t="s">
        <v>441</v>
      </c>
      <c r="F9" s="121"/>
      <c r="G9" s="121"/>
      <c r="H9" s="121"/>
      <c r="I9" s="121" t="s">
        <v>468</v>
      </c>
      <c r="J9" s="121"/>
      <c r="K9" s="121" t="s">
        <v>440</v>
      </c>
      <c r="L9" s="121"/>
      <c r="M9" s="121" t="s">
        <v>439</v>
      </c>
      <c r="N9" s="121"/>
    </row>
    <row r="10" spans="1:25" s="6" customFormat="1" x14ac:dyDescent="0.3">
      <c r="A10" s="6" t="s">
        <v>22</v>
      </c>
      <c r="B10" s="6" t="s">
        <v>23</v>
      </c>
      <c r="C10" s="6" t="s">
        <v>22</v>
      </c>
      <c r="D10" s="6" t="s">
        <v>23</v>
      </c>
      <c r="E10" s="6" t="s">
        <v>22</v>
      </c>
      <c r="F10" s="6" t="s">
        <v>23</v>
      </c>
      <c r="G10" s="6" t="s">
        <v>442</v>
      </c>
      <c r="H10" s="6" t="s">
        <v>443</v>
      </c>
      <c r="I10" s="6" t="s">
        <v>22</v>
      </c>
      <c r="J10" s="6" t="s">
        <v>23</v>
      </c>
      <c r="K10" s="6" t="s">
        <v>22</v>
      </c>
      <c r="L10" s="6" t="s">
        <v>23</v>
      </c>
      <c r="M10" s="6" t="s">
        <v>22</v>
      </c>
      <c r="N10" s="6" t="s">
        <v>23</v>
      </c>
    </row>
    <row r="11" spans="1:25" s="80" customFormat="1" x14ac:dyDescent="0.3">
      <c r="A11" s="79">
        <v>1</v>
      </c>
      <c r="B11" s="79">
        <v>1</v>
      </c>
      <c r="C11" s="79">
        <f>A11+1</f>
        <v>2</v>
      </c>
      <c r="D11" s="79">
        <f>B11</f>
        <v>1</v>
      </c>
      <c r="E11" s="79">
        <f t="shared" ref="E11:F15" si="0">A11</f>
        <v>1</v>
      </c>
      <c r="F11" s="79">
        <f t="shared" si="0"/>
        <v>1</v>
      </c>
      <c r="G11" s="79">
        <f>IF((C11-A11) &lt; 0, PI(),IF((D11-B11) &lt; 0, 2*PI(),0))+ATAN((D11-B11)/(C11-A11))</f>
        <v>0</v>
      </c>
      <c r="H11" s="79">
        <f>DEGREES(G11)</f>
        <v>0</v>
      </c>
      <c r="I11" s="85">
        <v>4</v>
      </c>
      <c r="J11" s="85">
        <v>6</v>
      </c>
      <c r="K11" s="79">
        <f>(I11-A11)*COS(-G11)-(J11-B11)*SIN(-G11)</f>
        <v>3</v>
      </c>
      <c r="L11" s="79">
        <f>(I11-A11)*SIN(-G11)+(J11-B11)*COS(-G11)</f>
        <v>5</v>
      </c>
      <c r="M11" s="79">
        <f>K11*COS(G11)-L11*SIN(G11)+A11</f>
        <v>4</v>
      </c>
      <c r="N11" s="79">
        <f>K11*SIN(G11)+L11*COS(G11)+B11</f>
        <v>6</v>
      </c>
      <c r="O11" s="79"/>
      <c r="P11" s="79" t="s">
        <v>464</v>
      </c>
      <c r="Y11" s="79" t="str">
        <f>"[TestCase("&amp;I11&amp;", "&amp;J11&amp;", "&amp;ROUND(K11,6)&amp;", "&amp;ROUND(L11,6)&amp;", "&amp;A11&amp;", "&amp;B11&amp;", "&amp;C11&amp;", "&amp;D11&amp;")]  // "&amp;P11</f>
        <v>[TestCase(4, 6, 3, 5, 1, 1, 2, 1)]  // Displaced Coord system in local Quad 1</v>
      </c>
    </row>
    <row r="12" spans="1:25" s="80" customFormat="1" x14ac:dyDescent="0.3">
      <c r="A12" s="79">
        <v>-1</v>
      </c>
      <c r="B12" s="79">
        <v>1</v>
      </c>
      <c r="C12" s="79">
        <f t="shared" ref="C12:C14" si="1">A12+1</f>
        <v>0</v>
      </c>
      <c r="D12" s="79">
        <f t="shared" ref="D12:D14" si="2">B12</f>
        <v>1</v>
      </c>
      <c r="E12" s="79">
        <f t="shared" si="0"/>
        <v>-1</v>
      </c>
      <c r="F12" s="79">
        <f t="shared" si="0"/>
        <v>1</v>
      </c>
      <c r="G12" s="79">
        <f>IF((C12-A12) &lt; 0, PI(),IF((D12-B12) &lt; 0, 2*PI(),0))+ATAN((D12-B12)/(C12-A12))</f>
        <v>0</v>
      </c>
      <c r="H12" s="79">
        <f>DEGREES(G12)</f>
        <v>0</v>
      </c>
      <c r="I12" s="85">
        <v>4</v>
      </c>
      <c r="J12" s="85">
        <v>6</v>
      </c>
      <c r="K12" s="79">
        <f>(I12-A12)*COS(-G12)-(J12-B12)*SIN(-G12)</f>
        <v>5</v>
      </c>
      <c r="L12" s="79">
        <f>(I12-A12)*SIN(-G12)+(J12-B12)*COS(-G12)</f>
        <v>5</v>
      </c>
      <c r="M12" s="79">
        <f>K12*COS(G12)-L12*SIN(G12)+A12</f>
        <v>4</v>
      </c>
      <c r="N12" s="79">
        <f t="shared" ref="N12:N37" si="3">K12*SIN(G12)+L12*COS(G12)+B12</f>
        <v>6</v>
      </c>
      <c r="O12" s="79"/>
      <c r="P12" s="79" t="s">
        <v>466</v>
      </c>
      <c r="Y12" s="79" t="str">
        <f>"[TestCase("&amp;I12&amp;", "&amp;J12&amp;", "&amp;ROUND(K12,6)&amp;", "&amp;ROUND(L12,6)&amp;", "&amp;A12&amp;", "&amp;B12&amp;", "&amp;C12&amp;", "&amp;D12&amp;")]  // "&amp;P12</f>
        <v>[TestCase(4, 6, 5, 5, -1, 1, 0, 1)]  // Displaced Coord system in local Quad 2</v>
      </c>
    </row>
    <row r="13" spans="1:25" s="80" customFormat="1" x14ac:dyDescent="0.3">
      <c r="A13" s="79">
        <v>-1</v>
      </c>
      <c r="B13" s="79">
        <v>-1</v>
      </c>
      <c r="C13" s="79">
        <f t="shared" si="1"/>
        <v>0</v>
      </c>
      <c r="D13" s="79">
        <f t="shared" si="2"/>
        <v>-1</v>
      </c>
      <c r="E13" s="79">
        <f t="shared" si="0"/>
        <v>-1</v>
      </c>
      <c r="F13" s="79">
        <f t="shared" si="0"/>
        <v>-1</v>
      </c>
      <c r="G13" s="79">
        <f>IF((C13-A13) &lt; 0, PI(),IF((D13-B13) &lt; 0, 2*PI(),0))+ATAN((D13-B13)/(C13-A13))</f>
        <v>0</v>
      </c>
      <c r="H13" s="79">
        <f>DEGREES(G13)</f>
        <v>0</v>
      </c>
      <c r="I13" s="85">
        <v>4</v>
      </c>
      <c r="J13" s="85">
        <v>6</v>
      </c>
      <c r="K13" s="79">
        <f>(I13-A13)*COS(-G13)-(J13-B13)*SIN(-G13)</f>
        <v>5</v>
      </c>
      <c r="L13" s="79">
        <f>(I13-A13)*SIN(-G13)+(J13-B13)*COS(-G13)</f>
        <v>7</v>
      </c>
      <c r="M13" s="79">
        <f t="shared" ref="M13:M37" si="4">K13*COS(G13)-L13*SIN(G13)+A13</f>
        <v>4</v>
      </c>
      <c r="N13" s="79">
        <f t="shared" si="3"/>
        <v>6</v>
      </c>
      <c r="O13" s="79"/>
      <c r="P13" s="79" t="s">
        <v>467</v>
      </c>
      <c r="Y13" s="79" t="str">
        <f>"[TestCase("&amp;I13&amp;", "&amp;J13&amp;", "&amp;ROUND(K13,6)&amp;", "&amp;ROUND(L13,6)&amp;", "&amp;A13&amp;", "&amp;B13&amp;", "&amp;C13&amp;", "&amp;D13&amp;")]  // "&amp;P13</f>
        <v>[TestCase(4, 6, 5, 7, -1, -1, 0, -1)]  // Displaced Coord system in local Quad 3</v>
      </c>
    </row>
    <row r="14" spans="1:25" s="80" customFormat="1" x14ac:dyDescent="0.3">
      <c r="A14" s="79">
        <v>1</v>
      </c>
      <c r="B14" s="79">
        <v>-1</v>
      </c>
      <c r="C14" s="79">
        <f t="shared" si="1"/>
        <v>2</v>
      </c>
      <c r="D14" s="79">
        <f t="shared" si="2"/>
        <v>-1</v>
      </c>
      <c r="E14" s="79">
        <f t="shared" si="0"/>
        <v>1</v>
      </c>
      <c r="F14" s="79">
        <f t="shared" si="0"/>
        <v>-1</v>
      </c>
      <c r="G14" s="79">
        <f>IF((C14-A14) &lt; 0, PI(),IF((D14-B14) &lt; 0, 2*PI(),0))+ATAN((D14-B14)/(C14-A14))</f>
        <v>0</v>
      </c>
      <c r="H14" s="79">
        <f>DEGREES(G14)</f>
        <v>0</v>
      </c>
      <c r="I14" s="85">
        <v>4</v>
      </c>
      <c r="J14" s="85">
        <v>6</v>
      </c>
      <c r="K14" s="79">
        <f>(I14-A14)*COS(-G14)-(J14-B14)*SIN(-G14)</f>
        <v>3</v>
      </c>
      <c r="L14" s="79">
        <f>(I14-A14)*SIN(-G14)+(J14-B14)*COS(-G14)</f>
        <v>7</v>
      </c>
      <c r="M14" s="79">
        <f t="shared" si="4"/>
        <v>4</v>
      </c>
      <c r="N14" s="79">
        <f t="shared" si="3"/>
        <v>6</v>
      </c>
      <c r="O14" s="79"/>
      <c r="P14" s="79" t="s">
        <v>465</v>
      </c>
      <c r="Y14" s="79" t="str">
        <f>"[TestCase("&amp;I14&amp;", "&amp;J14&amp;", "&amp;ROUND(K14,6)&amp;", "&amp;ROUND(L14,6)&amp;", "&amp;A14&amp;", "&amp;B14&amp;", "&amp;C14&amp;", "&amp;D14&amp;")]  // "&amp;P14</f>
        <v>[TestCase(4, 6, 3, 7, 1, -1, 2, -1)]  // Displaced Coord system in local Quad 4</v>
      </c>
    </row>
    <row r="15" spans="1:25" s="7" customFormat="1" x14ac:dyDescent="0.3">
      <c r="A15" s="7">
        <v>0</v>
      </c>
      <c r="B15" s="7">
        <v>0</v>
      </c>
      <c r="C15" s="7">
        <v>1</v>
      </c>
      <c r="D15" s="7">
        <v>1</v>
      </c>
      <c r="E15" s="7">
        <f t="shared" si="0"/>
        <v>0</v>
      </c>
      <c r="F15" s="7">
        <f t="shared" si="0"/>
        <v>0</v>
      </c>
      <c r="G15" s="7">
        <f>IF((C15-A15) &lt; 0, PI(),IF((D15-B15) &lt; 0, 2*PI(),0))+ATAN((D15-B15)/(C15-A15))</f>
        <v>0.78539816339744828</v>
      </c>
      <c r="H15" s="7">
        <f>DEGREES(G15)</f>
        <v>45</v>
      </c>
      <c r="I15" s="10">
        <v>4</v>
      </c>
      <c r="J15" s="10">
        <v>6</v>
      </c>
      <c r="K15" s="7">
        <f>(I15-A15)*COS(-G15)-(J15-B15)*SIN(-G15)</f>
        <v>7.0710678118654755</v>
      </c>
      <c r="L15" s="7">
        <f>(I15-A15)*SIN(-G15)+(J15-B15)*COS(-G15)</f>
        <v>1.4142135623730958</v>
      </c>
      <c r="M15" s="7">
        <f t="shared" si="4"/>
        <v>4</v>
      </c>
      <c r="N15" s="7">
        <f t="shared" si="3"/>
        <v>6.0000000000000009</v>
      </c>
      <c r="P15" s="7" t="s">
        <v>445</v>
      </c>
      <c r="Y15" s="7" t="str">
        <f>"[TestCase("&amp;I15&amp;", "&amp;J15&amp;", "&amp;ROUND(K15,6)&amp;", "&amp;ROUND(L15,6)&amp;", "&amp;A15&amp;", "&amp;B15&amp;", "&amp;C15&amp;", "&amp;D15&amp;")]  // "&amp;P15</f>
        <v>[TestCase(4, 6, 7.071068, 1.414214, 0, 0, 1, 1)]  // Rotated system x-axis towards global Quad 1, local Quad 1</v>
      </c>
    </row>
    <row r="16" spans="1:25" s="7" customFormat="1" x14ac:dyDescent="0.3">
      <c r="A16" s="7">
        <v>0</v>
      </c>
      <c r="B16" s="7">
        <v>0</v>
      </c>
      <c r="C16" s="7">
        <v>-1</v>
      </c>
      <c r="D16" s="7">
        <v>1</v>
      </c>
      <c r="E16" s="7">
        <f t="shared" ref="E16:E37" si="5">A16</f>
        <v>0</v>
      </c>
      <c r="F16" s="7">
        <f t="shared" ref="F16:F37" si="6">B16</f>
        <v>0</v>
      </c>
      <c r="G16" s="7">
        <f t="shared" ref="G16:G37" si="7">IF((C16-A16) &lt; 0, PI(),IF((D16-B16) &lt; 0, 2*PI(),0))+ATAN((D16-B16)/(C16-A16))</f>
        <v>2.3561944901923448</v>
      </c>
      <c r="H16" s="7">
        <f t="shared" ref="H16:H37" si="8">DEGREES(G16)</f>
        <v>135</v>
      </c>
      <c r="I16" s="10">
        <v>4</v>
      </c>
      <c r="J16" s="10">
        <v>6</v>
      </c>
      <c r="K16" s="7">
        <f t="shared" ref="K16:K37" si="9">(I16-A16)*COS(-G16)-(J16-B16)*SIN(-G16)</f>
        <v>1.4142135623730958</v>
      </c>
      <c r="L16" s="7">
        <f t="shared" ref="L16:L37" si="10">(I16-A16)*SIN(-G16)+(J16-B16)*COS(-G16)</f>
        <v>-7.0710678118654755</v>
      </c>
      <c r="M16" s="7">
        <f t="shared" si="4"/>
        <v>4</v>
      </c>
      <c r="N16" s="7">
        <f t="shared" si="3"/>
        <v>6.0000000000000009</v>
      </c>
      <c r="P16" s="7" t="s">
        <v>446</v>
      </c>
      <c r="Y16" s="7" t="str">
        <f t="shared" ref="Y16:Y37" si="11">"[TestCase("&amp;I16&amp;", "&amp;J16&amp;", "&amp;ROUND(K16,6)&amp;", "&amp;ROUND(L16,6)&amp;", "&amp;A16&amp;", "&amp;B16&amp;", "&amp;C16&amp;", "&amp;D16&amp;")]  // "&amp;P16</f>
        <v>[TestCase(4, 6, 1.414214, -7.071068, 0, 0, -1, 1)]  // Rotated system x-axis towards global Quad 2, local Quad 4</v>
      </c>
    </row>
    <row r="17" spans="1:25" s="7" customFormat="1" x14ac:dyDescent="0.3">
      <c r="A17" s="7">
        <v>0</v>
      </c>
      <c r="B17" s="7">
        <v>0</v>
      </c>
      <c r="C17" s="7">
        <v>-1</v>
      </c>
      <c r="D17" s="7">
        <v>-1</v>
      </c>
      <c r="E17" s="7">
        <f t="shared" si="5"/>
        <v>0</v>
      </c>
      <c r="F17" s="7">
        <f t="shared" si="6"/>
        <v>0</v>
      </c>
      <c r="G17" s="7">
        <f t="shared" si="7"/>
        <v>3.9269908169872414</v>
      </c>
      <c r="H17" s="7">
        <f t="shared" si="8"/>
        <v>225</v>
      </c>
      <c r="I17" s="10">
        <v>4</v>
      </c>
      <c r="J17" s="10">
        <v>6</v>
      </c>
      <c r="K17" s="7">
        <f t="shared" si="9"/>
        <v>-7.0710678118654755</v>
      </c>
      <c r="L17" s="7">
        <f t="shared" si="10"/>
        <v>-1.4142135623730958</v>
      </c>
      <c r="M17" s="7">
        <f t="shared" si="4"/>
        <v>4</v>
      </c>
      <c r="N17" s="7">
        <f t="shared" si="3"/>
        <v>6.0000000000000009</v>
      </c>
      <c r="P17" s="7" t="s">
        <v>447</v>
      </c>
      <c r="Y17" s="7" t="str">
        <f t="shared" si="11"/>
        <v>[TestCase(4, 6, -7.071068, -1.414214, 0, 0, -1, -1)]  // Rotated system x-axis towards global Quad 3, local Quad 3</v>
      </c>
    </row>
    <row r="18" spans="1:25" s="7" customFormat="1" x14ac:dyDescent="0.3">
      <c r="A18" s="7">
        <v>0</v>
      </c>
      <c r="B18" s="7">
        <v>0</v>
      </c>
      <c r="C18" s="7">
        <v>1</v>
      </c>
      <c r="D18" s="7">
        <v>-1</v>
      </c>
      <c r="E18" s="7">
        <f t="shared" si="5"/>
        <v>0</v>
      </c>
      <c r="F18" s="7">
        <f t="shared" si="6"/>
        <v>0</v>
      </c>
      <c r="G18" s="7">
        <f t="shared" si="7"/>
        <v>5.497787143782138</v>
      </c>
      <c r="H18" s="7">
        <f t="shared" si="8"/>
        <v>315</v>
      </c>
      <c r="I18" s="10">
        <v>4</v>
      </c>
      <c r="J18" s="10">
        <v>6</v>
      </c>
      <c r="K18" s="7">
        <f t="shared" si="9"/>
        <v>-1.4142135623730963</v>
      </c>
      <c r="L18" s="7">
        <f t="shared" si="10"/>
        <v>7.0710678118654746</v>
      </c>
      <c r="M18" s="7">
        <f t="shared" si="4"/>
        <v>4</v>
      </c>
      <c r="N18" s="7">
        <f t="shared" si="3"/>
        <v>5.9999999999999991</v>
      </c>
      <c r="P18" s="7" t="s">
        <v>448</v>
      </c>
      <c r="Y18" s="7" t="str">
        <f t="shared" si="11"/>
        <v>[TestCase(4, 6, -1.414214, 7.071068, 0, 0, 1, -1)]  // Rotated system x-axis towards global Quad 4, local Quad 2</v>
      </c>
    </row>
    <row r="19" spans="1:25" s="24" customFormat="1" x14ac:dyDescent="0.3">
      <c r="A19" s="24">
        <v>3</v>
      </c>
      <c r="B19" s="24">
        <v>2</v>
      </c>
      <c r="C19" s="24">
        <v>2</v>
      </c>
      <c r="D19" s="24">
        <v>3</v>
      </c>
      <c r="E19" s="24">
        <f t="shared" si="5"/>
        <v>3</v>
      </c>
      <c r="F19" s="24">
        <f t="shared" si="6"/>
        <v>2</v>
      </c>
      <c r="G19" s="24">
        <f t="shared" si="7"/>
        <v>2.3561944901923448</v>
      </c>
      <c r="H19" s="24">
        <f t="shared" si="8"/>
        <v>135</v>
      </c>
      <c r="I19" s="86">
        <v>4</v>
      </c>
      <c r="J19" s="86">
        <v>6</v>
      </c>
      <c r="K19" s="24">
        <f t="shared" si="9"/>
        <v>2.1213203435596428</v>
      </c>
      <c r="L19" s="24">
        <f t="shared" si="10"/>
        <v>-3.5355339059327373</v>
      </c>
      <c r="M19" s="24">
        <f t="shared" si="4"/>
        <v>4</v>
      </c>
      <c r="N19" s="24">
        <f t="shared" si="3"/>
        <v>6</v>
      </c>
      <c r="P19" s="73" t="s">
        <v>449</v>
      </c>
      <c r="Y19" s="7" t="str">
        <f t="shared" si="11"/>
        <v>[TestCase(4, 6, 2.12132, -3.535534, 3, 2, 2, 3)]  // Translated &amp; Rotated system with x-axis towards global Quad 2, local coord in Quad 4</v>
      </c>
    </row>
    <row r="20" spans="1:25" s="24" customFormat="1" x14ac:dyDescent="0.3">
      <c r="A20" s="24">
        <v>3</v>
      </c>
      <c r="B20" s="24">
        <v>2</v>
      </c>
      <c r="C20" s="24">
        <v>2</v>
      </c>
      <c r="D20" s="24">
        <v>1</v>
      </c>
      <c r="E20" s="24">
        <f t="shared" si="5"/>
        <v>3</v>
      </c>
      <c r="F20" s="24">
        <f t="shared" si="6"/>
        <v>2</v>
      </c>
      <c r="G20" s="24">
        <f t="shared" si="7"/>
        <v>3.9269908169872414</v>
      </c>
      <c r="H20" s="24">
        <f t="shared" si="8"/>
        <v>225</v>
      </c>
      <c r="I20" s="86">
        <v>4</v>
      </c>
      <c r="J20" s="86">
        <v>6</v>
      </c>
      <c r="K20" s="24">
        <f t="shared" si="9"/>
        <v>-3.5355339059327378</v>
      </c>
      <c r="L20" s="24">
        <f t="shared" si="10"/>
        <v>-2.1213203435596433</v>
      </c>
      <c r="M20" s="24">
        <f t="shared" si="4"/>
        <v>4</v>
      </c>
      <c r="N20" s="24">
        <f t="shared" si="3"/>
        <v>6.0000000000000009</v>
      </c>
      <c r="P20" s="73" t="s">
        <v>450</v>
      </c>
      <c r="Y20" s="7" t="str">
        <f t="shared" si="11"/>
        <v>[TestCase(4, 6, -3.535534, -2.12132, 3, 2, 2, 1)]  // Translated &amp; Rotated system with x-axis towards global Quad 3, local coord in Quad 3</v>
      </c>
    </row>
    <row r="21" spans="1:25" s="24" customFormat="1" x14ac:dyDescent="0.3">
      <c r="A21" s="24">
        <v>3</v>
      </c>
      <c r="B21" s="24">
        <v>2</v>
      </c>
      <c r="C21" s="24">
        <v>4</v>
      </c>
      <c r="D21" s="24">
        <v>1</v>
      </c>
      <c r="E21" s="24">
        <f t="shared" si="5"/>
        <v>3</v>
      </c>
      <c r="F21" s="24">
        <f t="shared" si="6"/>
        <v>2</v>
      </c>
      <c r="G21" s="24">
        <f t="shared" si="7"/>
        <v>5.497787143782138</v>
      </c>
      <c r="H21" s="24">
        <f t="shared" si="8"/>
        <v>315</v>
      </c>
      <c r="I21" s="86">
        <v>4</v>
      </c>
      <c r="J21" s="86">
        <v>6</v>
      </c>
      <c r="K21" s="24">
        <f t="shared" si="9"/>
        <v>-2.1213203435596433</v>
      </c>
      <c r="L21" s="24">
        <f t="shared" si="10"/>
        <v>3.5355339059327369</v>
      </c>
      <c r="M21" s="24">
        <f t="shared" si="4"/>
        <v>4</v>
      </c>
      <c r="N21" s="24">
        <f t="shared" si="3"/>
        <v>6</v>
      </c>
      <c r="P21" s="73" t="s">
        <v>451</v>
      </c>
      <c r="Y21" s="7" t="str">
        <f t="shared" si="11"/>
        <v>[TestCase(4, 6, -2.12132, 3.535534, 3, 2, 4, 1)]  // Translated &amp; Rotated system with x-axis towards global Quad 4, local coord in Quad 2</v>
      </c>
    </row>
    <row r="22" spans="1:25" s="75" customFormat="1" x14ac:dyDescent="0.3">
      <c r="A22" s="75">
        <v>3</v>
      </c>
      <c r="B22" s="75">
        <v>2</v>
      </c>
      <c r="C22" s="75">
        <v>4</v>
      </c>
      <c r="D22" s="75">
        <v>3</v>
      </c>
      <c r="E22" s="75">
        <f>A22</f>
        <v>3</v>
      </c>
      <c r="F22" s="75">
        <f>B22</f>
        <v>2</v>
      </c>
      <c r="G22" s="75">
        <f>IF((C22-A22) &lt; 0, PI(),IF((D22-B22) &lt; 0, 2*PI(),0))+ATAN((D22-B22)/(C22-A22))</f>
        <v>0.78539816339744828</v>
      </c>
      <c r="H22" s="75">
        <f>DEGREES(G22)</f>
        <v>45</v>
      </c>
      <c r="I22" s="87">
        <v>4</v>
      </c>
      <c r="J22" s="87">
        <v>6</v>
      </c>
      <c r="K22" s="75">
        <f>(I22-A22)*COS(-G22)-(J22-B22)*SIN(-G22)</f>
        <v>3.5355339059327373</v>
      </c>
      <c r="L22" s="75">
        <f>(I22-A22)*SIN(-G22)+(J22-B22)*COS(-G22)</f>
        <v>2.1213203435596428</v>
      </c>
      <c r="M22" s="75">
        <f t="shared" si="4"/>
        <v>4</v>
      </c>
      <c r="N22" s="75">
        <f t="shared" si="3"/>
        <v>6</v>
      </c>
      <c r="P22" s="74" t="s">
        <v>444</v>
      </c>
      <c r="Y22" s="7" t="str">
        <f t="shared" si="11"/>
        <v>[TestCase(4, 6, 3.535534, 2.12132, 3, 2, 4, 3)]  // Translated &amp; Rotated system with x-axis towards global Quad 1, local coord in Quad 1</v>
      </c>
    </row>
    <row r="23" spans="1:25" s="75" customFormat="1" x14ac:dyDescent="0.3">
      <c r="A23" s="75">
        <v>-3</v>
      </c>
      <c r="B23" s="75">
        <v>2</v>
      </c>
      <c r="C23" s="75">
        <v>-4</v>
      </c>
      <c r="D23" s="75">
        <v>3</v>
      </c>
      <c r="E23" s="75">
        <f t="shared" si="5"/>
        <v>-3</v>
      </c>
      <c r="F23" s="75">
        <f t="shared" si="6"/>
        <v>2</v>
      </c>
      <c r="G23" s="75">
        <f t="shared" si="7"/>
        <v>2.3561944901923448</v>
      </c>
      <c r="H23" s="75">
        <f t="shared" si="8"/>
        <v>135</v>
      </c>
      <c r="I23" s="87">
        <v>-7</v>
      </c>
      <c r="J23" s="87">
        <v>3</v>
      </c>
      <c r="K23" s="75">
        <f t="shared" si="9"/>
        <v>3.5355339059327373</v>
      </c>
      <c r="L23" s="75">
        <f t="shared" si="10"/>
        <v>2.1213203435596428</v>
      </c>
      <c r="M23" s="75">
        <f t="shared" si="4"/>
        <v>-7</v>
      </c>
      <c r="N23" s="75">
        <f t="shared" si="3"/>
        <v>3</v>
      </c>
      <c r="P23" s="74" t="s">
        <v>452</v>
      </c>
      <c r="Y23" s="7" t="str">
        <f t="shared" si="11"/>
        <v>[TestCase(-7, 3, 3.535534, 2.12132, -3, 2, -4, 3)]  // Translated &amp; Rotated system with x-axis towards global Quad 2, local coord in Quad 1</v>
      </c>
    </row>
    <row r="24" spans="1:25" s="75" customFormat="1" x14ac:dyDescent="0.3">
      <c r="A24" s="75">
        <v>-3</v>
      </c>
      <c r="B24" s="75">
        <v>-2</v>
      </c>
      <c r="C24" s="75">
        <v>-4</v>
      </c>
      <c r="D24" s="75">
        <v>-3</v>
      </c>
      <c r="E24" s="75">
        <f t="shared" si="5"/>
        <v>-3</v>
      </c>
      <c r="F24" s="75">
        <f t="shared" si="6"/>
        <v>-2</v>
      </c>
      <c r="G24" s="75">
        <f t="shared" si="7"/>
        <v>3.9269908169872414</v>
      </c>
      <c r="H24" s="75">
        <f t="shared" si="8"/>
        <v>225</v>
      </c>
      <c r="I24" s="87">
        <v>-4</v>
      </c>
      <c r="J24" s="87">
        <v>-6</v>
      </c>
      <c r="K24" s="75">
        <f t="shared" si="9"/>
        <v>3.5355339059327378</v>
      </c>
      <c r="L24" s="75">
        <f t="shared" si="10"/>
        <v>2.1213203435596433</v>
      </c>
      <c r="M24" s="75">
        <f t="shared" si="4"/>
        <v>-4</v>
      </c>
      <c r="N24" s="75">
        <f t="shared" si="3"/>
        <v>-6.0000000000000009</v>
      </c>
      <c r="P24" s="74" t="s">
        <v>453</v>
      </c>
      <c r="Y24" s="7" t="str">
        <f t="shared" si="11"/>
        <v>[TestCase(-4, -6, 3.535534, 2.12132, -3, -2, -4, -3)]  // Translated &amp; Rotated system with x-axis towards global Quad 3, local coord in Quad 1</v>
      </c>
    </row>
    <row r="25" spans="1:25" s="75" customFormat="1" x14ac:dyDescent="0.3">
      <c r="A25" s="75">
        <v>3</v>
      </c>
      <c r="B25" s="75">
        <v>-2</v>
      </c>
      <c r="C25" s="75">
        <v>4</v>
      </c>
      <c r="D25" s="75">
        <v>-3</v>
      </c>
      <c r="E25" s="75">
        <f t="shared" si="5"/>
        <v>3</v>
      </c>
      <c r="F25" s="75">
        <f t="shared" si="6"/>
        <v>-2</v>
      </c>
      <c r="G25" s="75">
        <f t="shared" si="7"/>
        <v>5.497787143782138</v>
      </c>
      <c r="H25" s="75">
        <f t="shared" si="8"/>
        <v>315</v>
      </c>
      <c r="I25" s="87">
        <v>7</v>
      </c>
      <c r="J25" s="87">
        <v>-3</v>
      </c>
      <c r="K25" s="75">
        <f t="shared" si="9"/>
        <v>3.5355339059327369</v>
      </c>
      <c r="L25" s="75">
        <f t="shared" si="10"/>
        <v>2.1213203435596433</v>
      </c>
      <c r="M25" s="75">
        <f t="shared" si="4"/>
        <v>7</v>
      </c>
      <c r="N25" s="75">
        <f t="shared" si="3"/>
        <v>-3</v>
      </c>
      <c r="P25" s="74" t="s">
        <v>454</v>
      </c>
      <c r="Y25" s="7" t="str">
        <f t="shared" si="11"/>
        <v>[TestCase(7, -3, 3.535534, 2.12132, 3, -2, 4, -3)]  // Translated &amp; Rotated system with x-axis towards global Quad 4, local coord in Quad 1</v>
      </c>
    </row>
    <row r="26" spans="1:25" s="76" customFormat="1" x14ac:dyDescent="0.3">
      <c r="A26" s="76">
        <v>3</v>
      </c>
      <c r="B26" s="76">
        <v>2</v>
      </c>
      <c r="C26" s="76">
        <v>4</v>
      </c>
      <c r="D26" s="76">
        <v>3</v>
      </c>
      <c r="E26" s="76">
        <f t="shared" si="5"/>
        <v>3</v>
      </c>
      <c r="F26" s="76">
        <f t="shared" si="6"/>
        <v>2</v>
      </c>
      <c r="G26" s="76">
        <f t="shared" si="7"/>
        <v>0.78539816339744828</v>
      </c>
      <c r="H26" s="76">
        <f t="shared" si="8"/>
        <v>45</v>
      </c>
      <c r="I26" s="88">
        <v>7</v>
      </c>
      <c r="J26" s="88">
        <v>3</v>
      </c>
      <c r="K26" s="76">
        <f t="shared" si="9"/>
        <v>3.5355339059327378</v>
      </c>
      <c r="L26" s="76">
        <f t="shared" si="10"/>
        <v>-2.1213203435596424</v>
      </c>
      <c r="M26" s="76">
        <f t="shared" si="4"/>
        <v>7</v>
      </c>
      <c r="N26" s="76">
        <f t="shared" si="3"/>
        <v>3</v>
      </c>
      <c r="P26" s="77" t="s">
        <v>455</v>
      </c>
      <c r="Y26" s="7" t="str">
        <f t="shared" si="11"/>
        <v>[TestCase(7, 3, 3.535534, -2.12132, 3, 2, 4, 3)]  // Translated &amp; Rotated system with x-axis towards global Quad 1, local coord in Quad 4</v>
      </c>
    </row>
    <row r="27" spans="1:25" s="76" customFormat="1" x14ac:dyDescent="0.3">
      <c r="A27" s="76">
        <v>-3</v>
      </c>
      <c r="B27" s="76">
        <v>2</v>
      </c>
      <c r="C27" s="76">
        <v>-4</v>
      </c>
      <c r="D27" s="76">
        <v>3</v>
      </c>
      <c r="E27" s="76">
        <f t="shared" si="5"/>
        <v>-3</v>
      </c>
      <c r="F27" s="76">
        <f t="shared" si="6"/>
        <v>2</v>
      </c>
      <c r="G27" s="76">
        <f t="shared" si="7"/>
        <v>2.3561944901923448</v>
      </c>
      <c r="H27" s="76">
        <f t="shared" si="8"/>
        <v>135</v>
      </c>
      <c r="I27" s="88">
        <v>-4</v>
      </c>
      <c r="J27" s="88">
        <v>6</v>
      </c>
      <c r="K27" s="76">
        <f t="shared" si="9"/>
        <v>3.5355339059327378</v>
      </c>
      <c r="L27" s="76">
        <f t="shared" si="10"/>
        <v>-2.1213203435596424</v>
      </c>
      <c r="M27" s="76">
        <f t="shared" si="4"/>
        <v>-4</v>
      </c>
      <c r="N27" s="76">
        <f t="shared" si="3"/>
        <v>6</v>
      </c>
      <c r="P27" s="77" t="s">
        <v>449</v>
      </c>
      <c r="Y27" s="7" t="str">
        <f t="shared" si="11"/>
        <v>[TestCase(-4, 6, 3.535534, -2.12132, -3, 2, -4, 3)]  // Translated &amp; Rotated system with x-axis towards global Quad 2, local coord in Quad 4</v>
      </c>
    </row>
    <row r="28" spans="1:25" s="76" customFormat="1" x14ac:dyDescent="0.3">
      <c r="A28" s="76">
        <v>-3</v>
      </c>
      <c r="B28" s="76">
        <v>-2</v>
      </c>
      <c r="C28" s="76">
        <v>-4</v>
      </c>
      <c r="D28" s="76">
        <v>-3</v>
      </c>
      <c r="E28" s="76">
        <f t="shared" si="5"/>
        <v>-3</v>
      </c>
      <c r="F28" s="76">
        <f t="shared" si="6"/>
        <v>-2</v>
      </c>
      <c r="G28" s="76">
        <f t="shared" si="7"/>
        <v>3.9269908169872414</v>
      </c>
      <c r="H28" s="76">
        <f t="shared" si="8"/>
        <v>225</v>
      </c>
      <c r="I28" s="88">
        <v>-7</v>
      </c>
      <c r="J28" s="88">
        <v>-3</v>
      </c>
      <c r="K28" s="76">
        <f t="shared" si="9"/>
        <v>3.5355339059327382</v>
      </c>
      <c r="L28" s="76">
        <f t="shared" si="10"/>
        <v>-2.1213203435596419</v>
      </c>
      <c r="M28" s="76">
        <f t="shared" si="4"/>
        <v>-7</v>
      </c>
      <c r="N28" s="76">
        <f t="shared" si="3"/>
        <v>-3</v>
      </c>
      <c r="P28" s="77" t="s">
        <v>456</v>
      </c>
      <c r="Y28" s="7" t="str">
        <f t="shared" si="11"/>
        <v>[TestCase(-7, -3, 3.535534, -2.12132, -3, -2, -4, -3)]  // Translated &amp; Rotated system with x-axis towards global Quad 3, local coord in Quad 4</v>
      </c>
    </row>
    <row r="29" spans="1:25" s="76" customFormat="1" x14ac:dyDescent="0.3">
      <c r="A29" s="76">
        <v>3</v>
      </c>
      <c r="B29" s="76">
        <v>-2</v>
      </c>
      <c r="C29" s="76">
        <v>4</v>
      </c>
      <c r="D29" s="76">
        <v>-3</v>
      </c>
      <c r="E29" s="76">
        <f t="shared" si="5"/>
        <v>3</v>
      </c>
      <c r="F29" s="76">
        <f t="shared" si="6"/>
        <v>-2</v>
      </c>
      <c r="G29" s="76">
        <f t="shared" si="7"/>
        <v>5.497787143782138</v>
      </c>
      <c r="H29" s="76">
        <f t="shared" si="8"/>
        <v>315</v>
      </c>
      <c r="I29" s="88">
        <v>4</v>
      </c>
      <c r="J29" s="88">
        <v>-6</v>
      </c>
      <c r="K29" s="76">
        <f t="shared" si="9"/>
        <v>3.5355339059327382</v>
      </c>
      <c r="L29" s="76">
        <f t="shared" si="10"/>
        <v>-2.1213203435596419</v>
      </c>
      <c r="M29" s="76">
        <f t="shared" si="4"/>
        <v>4</v>
      </c>
      <c r="N29" s="76">
        <f t="shared" si="3"/>
        <v>-6</v>
      </c>
      <c r="P29" s="77" t="s">
        <v>457</v>
      </c>
      <c r="Y29" s="7" t="str">
        <f t="shared" si="11"/>
        <v>[TestCase(4, -6, 3.535534, -2.12132, 3, -2, 4, -3)]  // Translated &amp; Rotated system with x-axis towards global Quad 4, local coord in Quad 4</v>
      </c>
    </row>
    <row r="30" spans="1:25" s="75" customFormat="1" x14ac:dyDescent="0.3">
      <c r="A30" s="75">
        <v>3</v>
      </c>
      <c r="B30" s="75">
        <v>2</v>
      </c>
      <c r="C30" s="75">
        <v>4</v>
      </c>
      <c r="D30" s="75">
        <v>3</v>
      </c>
      <c r="E30" s="75">
        <f t="shared" si="5"/>
        <v>3</v>
      </c>
      <c r="F30" s="75">
        <f t="shared" si="6"/>
        <v>2</v>
      </c>
      <c r="G30" s="75">
        <f t="shared" si="7"/>
        <v>0.78539816339744828</v>
      </c>
      <c r="H30" s="75">
        <f t="shared" si="8"/>
        <v>45</v>
      </c>
      <c r="I30" s="87">
        <v>-1</v>
      </c>
      <c r="J30" s="87">
        <v>1</v>
      </c>
      <c r="K30" s="78">
        <f t="shared" si="9"/>
        <v>-3.5355339059327378</v>
      </c>
      <c r="L30" s="75">
        <f t="shared" si="10"/>
        <v>2.1213203435596424</v>
      </c>
      <c r="M30" s="75">
        <f t="shared" si="4"/>
        <v>-1</v>
      </c>
      <c r="N30" s="75">
        <f t="shared" si="3"/>
        <v>1</v>
      </c>
      <c r="P30" s="74" t="s">
        <v>458</v>
      </c>
      <c r="Y30" s="7" t="str">
        <f t="shared" si="11"/>
        <v>[TestCase(-1, 1, -3.535534, 2.12132, 3, 2, 4, 3)]  // Translated &amp; Rotated system with x-axis towards global Quad 1, local coord in Quad 2</v>
      </c>
    </row>
    <row r="31" spans="1:25" s="75" customFormat="1" x14ac:dyDescent="0.3">
      <c r="A31" s="75">
        <v>-3</v>
      </c>
      <c r="B31" s="75">
        <v>2</v>
      </c>
      <c r="C31" s="75">
        <v>-4</v>
      </c>
      <c r="D31" s="75">
        <v>3</v>
      </c>
      <c r="E31" s="75">
        <f t="shared" si="5"/>
        <v>-3</v>
      </c>
      <c r="F31" s="75">
        <f t="shared" si="6"/>
        <v>2</v>
      </c>
      <c r="G31" s="75">
        <f t="shared" si="7"/>
        <v>2.3561944901923448</v>
      </c>
      <c r="H31" s="75">
        <f t="shared" si="8"/>
        <v>135</v>
      </c>
      <c r="I31" s="87">
        <v>-2</v>
      </c>
      <c r="J31" s="87">
        <v>-2</v>
      </c>
      <c r="K31" s="78">
        <f t="shared" si="9"/>
        <v>-3.5355339059327378</v>
      </c>
      <c r="L31" s="75">
        <f t="shared" si="10"/>
        <v>2.1213203435596424</v>
      </c>
      <c r="M31" s="75">
        <f t="shared" si="4"/>
        <v>-2</v>
      </c>
      <c r="N31" s="75">
        <f t="shared" si="3"/>
        <v>-2</v>
      </c>
      <c r="P31" s="74" t="s">
        <v>459</v>
      </c>
      <c r="Y31" s="7" t="str">
        <f t="shared" si="11"/>
        <v>[TestCase(-2, -2, -3.535534, 2.12132, -3, 2, -4, 3)]  // Translated &amp; Rotated system with x-axis towards global Quad 2, local coord in Quad 2</v>
      </c>
    </row>
    <row r="32" spans="1:25" s="75" customFormat="1" x14ac:dyDescent="0.3">
      <c r="A32" s="75">
        <v>-3</v>
      </c>
      <c r="B32" s="75">
        <v>-2</v>
      </c>
      <c r="C32" s="75">
        <v>-4</v>
      </c>
      <c r="D32" s="75">
        <v>-3</v>
      </c>
      <c r="E32" s="75">
        <f t="shared" si="5"/>
        <v>-3</v>
      </c>
      <c r="F32" s="75">
        <f t="shared" si="6"/>
        <v>-2</v>
      </c>
      <c r="G32" s="75">
        <f t="shared" si="7"/>
        <v>3.9269908169872414</v>
      </c>
      <c r="H32" s="75">
        <f t="shared" si="8"/>
        <v>225</v>
      </c>
      <c r="I32" s="87">
        <v>1</v>
      </c>
      <c r="J32" s="87">
        <v>-1</v>
      </c>
      <c r="K32" s="78">
        <f t="shared" si="9"/>
        <v>-3.5355339059327382</v>
      </c>
      <c r="L32" s="75">
        <f t="shared" si="10"/>
        <v>2.1213203435596419</v>
      </c>
      <c r="M32" s="75">
        <f t="shared" si="4"/>
        <v>1</v>
      </c>
      <c r="N32" s="75">
        <f t="shared" si="3"/>
        <v>-1</v>
      </c>
      <c r="P32" s="74" t="s">
        <v>460</v>
      </c>
      <c r="Y32" s="7" t="str">
        <f t="shared" si="11"/>
        <v>[TestCase(1, -1, -3.535534, 2.12132, -3, -2, -4, -3)]  // Translated &amp; Rotated system with x-axis towards global Quad 3, local coord in Quad 2</v>
      </c>
    </row>
    <row r="33" spans="1:25" s="75" customFormat="1" x14ac:dyDescent="0.3">
      <c r="A33" s="75">
        <v>3</v>
      </c>
      <c r="B33" s="75">
        <v>-2</v>
      </c>
      <c r="C33" s="75">
        <v>4</v>
      </c>
      <c r="D33" s="75">
        <v>-3</v>
      </c>
      <c r="E33" s="75">
        <f t="shared" si="5"/>
        <v>3</v>
      </c>
      <c r="F33" s="75">
        <f t="shared" si="6"/>
        <v>-2</v>
      </c>
      <c r="G33" s="75">
        <f t="shared" si="7"/>
        <v>5.497787143782138</v>
      </c>
      <c r="H33" s="75">
        <f t="shared" si="8"/>
        <v>315</v>
      </c>
      <c r="I33" s="87">
        <v>2</v>
      </c>
      <c r="J33" s="87">
        <v>2</v>
      </c>
      <c r="K33" s="78">
        <f t="shared" si="9"/>
        <v>-3.5355339059327382</v>
      </c>
      <c r="L33" s="75">
        <f t="shared" si="10"/>
        <v>2.1213203435596419</v>
      </c>
      <c r="M33" s="75">
        <f t="shared" si="4"/>
        <v>2</v>
      </c>
      <c r="N33" s="75">
        <f t="shared" si="3"/>
        <v>2</v>
      </c>
      <c r="P33" s="74" t="s">
        <v>451</v>
      </c>
      <c r="Y33" s="7" t="str">
        <f t="shared" si="11"/>
        <v>[TestCase(2, 2, -3.535534, 2.12132, 3, -2, 4, -3)]  // Translated &amp; Rotated system with x-axis towards global Quad 4, local coord in Quad 2</v>
      </c>
    </row>
    <row r="34" spans="1:25" s="76" customFormat="1" x14ac:dyDescent="0.3">
      <c r="A34" s="76">
        <v>3</v>
      </c>
      <c r="B34" s="76">
        <v>2</v>
      </c>
      <c r="C34" s="76">
        <v>4</v>
      </c>
      <c r="D34" s="76">
        <v>3</v>
      </c>
      <c r="E34" s="76">
        <f t="shared" si="5"/>
        <v>3</v>
      </c>
      <c r="F34" s="76">
        <f t="shared" si="6"/>
        <v>2</v>
      </c>
      <c r="G34" s="76">
        <f t="shared" si="7"/>
        <v>0.78539816339744828</v>
      </c>
      <c r="H34" s="76">
        <f t="shared" si="8"/>
        <v>45</v>
      </c>
      <c r="I34" s="88">
        <v>2</v>
      </c>
      <c r="J34" s="88">
        <v>-2</v>
      </c>
      <c r="K34" s="76">
        <f t="shared" si="9"/>
        <v>-3.5355339059327373</v>
      </c>
      <c r="L34" s="76">
        <f t="shared" si="10"/>
        <v>-2.1213203435596428</v>
      </c>
      <c r="M34" s="76">
        <f t="shared" si="4"/>
        <v>2</v>
      </c>
      <c r="N34" s="76">
        <f t="shared" si="3"/>
        <v>-2</v>
      </c>
      <c r="P34" s="77" t="s">
        <v>461</v>
      </c>
      <c r="Y34" s="7" t="str">
        <f t="shared" si="11"/>
        <v>[TestCase(2, -2, -3.535534, -2.12132, 3, 2, 4, 3)]  // Translated &amp; Rotated system with x-axis towards global Quad 1, local coord in Quad 3</v>
      </c>
    </row>
    <row r="35" spans="1:25" s="76" customFormat="1" x14ac:dyDescent="0.3">
      <c r="A35" s="76">
        <v>-3</v>
      </c>
      <c r="B35" s="76">
        <v>2</v>
      </c>
      <c r="C35" s="76">
        <v>-4</v>
      </c>
      <c r="D35" s="76">
        <v>3</v>
      </c>
      <c r="E35" s="76">
        <f t="shared" si="5"/>
        <v>-3</v>
      </c>
      <c r="F35" s="76">
        <f t="shared" si="6"/>
        <v>2</v>
      </c>
      <c r="G35" s="76">
        <f t="shared" si="7"/>
        <v>2.3561944901923448</v>
      </c>
      <c r="H35" s="76">
        <f t="shared" si="8"/>
        <v>135</v>
      </c>
      <c r="I35" s="88">
        <v>1</v>
      </c>
      <c r="J35" s="88">
        <v>1</v>
      </c>
      <c r="K35" s="76">
        <f t="shared" si="9"/>
        <v>-3.5355339059327373</v>
      </c>
      <c r="L35" s="76">
        <f t="shared" si="10"/>
        <v>-2.1213203435596428</v>
      </c>
      <c r="M35" s="76">
        <f t="shared" si="4"/>
        <v>1</v>
      </c>
      <c r="N35" s="76">
        <f t="shared" si="3"/>
        <v>1</v>
      </c>
      <c r="P35" s="77" t="s">
        <v>462</v>
      </c>
      <c r="Y35" s="7" t="str">
        <f t="shared" si="11"/>
        <v>[TestCase(1, 1, -3.535534, -2.12132, -3, 2, -4, 3)]  // Translated &amp; Rotated system with x-axis towards global Quad 2, local coord in Quad 3</v>
      </c>
    </row>
    <row r="36" spans="1:25" s="76" customFormat="1" x14ac:dyDescent="0.3">
      <c r="A36" s="76">
        <v>-3</v>
      </c>
      <c r="B36" s="76">
        <v>-2</v>
      </c>
      <c r="C36" s="76">
        <v>-4</v>
      </c>
      <c r="D36" s="76">
        <v>-3</v>
      </c>
      <c r="E36" s="76">
        <f t="shared" si="5"/>
        <v>-3</v>
      </c>
      <c r="F36" s="76">
        <f t="shared" si="6"/>
        <v>-2</v>
      </c>
      <c r="G36" s="76">
        <f t="shared" si="7"/>
        <v>3.9269908169872414</v>
      </c>
      <c r="H36" s="76">
        <f t="shared" si="8"/>
        <v>225</v>
      </c>
      <c r="I36" s="88">
        <v>-2</v>
      </c>
      <c r="J36" s="88">
        <v>2</v>
      </c>
      <c r="K36" s="76">
        <f t="shared" si="9"/>
        <v>-3.5355339059327378</v>
      </c>
      <c r="L36" s="76">
        <f t="shared" si="10"/>
        <v>-2.1213203435596433</v>
      </c>
      <c r="M36" s="76">
        <f t="shared" si="4"/>
        <v>-2</v>
      </c>
      <c r="N36" s="76">
        <f t="shared" si="3"/>
        <v>2.0000000000000009</v>
      </c>
      <c r="P36" s="77" t="s">
        <v>450</v>
      </c>
      <c r="Y36" s="7" t="str">
        <f t="shared" si="11"/>
        <v>[TestCase(-2, 2, -3.535534, -2.12132, -3, -2, -4, -3)]  // Translated &amp; Rotated system with x-axis towards global Quad 3, local coord in Quad 3</v>
      </c>
    </row>
    <row r="37" spans="1:25" s="76" customFormat="1" x14ac:dyDescent="0.3">
      <c r="A37" s="76">
        <v>3</v>
      </c>
      <c r="B37" s="76">
        <v>-2</v>
      </c>
      <c r="C37" s="76">
        <v>4</v>
      </c>
      <c r="D37" s="76">
        <v>-3</v>
      </c>
      <c r="E37" s="76">
        <f t="shared" si="5"/>
        <v>3</v>
      </c>
      <c r="F37" s="76">
        <f t="shared" si="6"/>
        <v>-2</v>
      </c>
      <c r="G37" s="76">
        <f t="shared" si="7"/>
        <v>5.497787143782138</v>
      </c>
      <c r="H37" s="76">
        <f t="shared" si="8"/>
        <v>315</v>
      </c>
      <c r="I37" s="88">
        <v>-1</v>
      </c>
      <c r="J37" s="88">
        <v>-1</v>
      </c>
      <c r="K37" s="76">
        <f t="shared" si="9"/>
        <v>-3.5355339059327369</v>
      </c>
      <c r="L37" s="76">
        <f t="shared" si="10"/>
        <v>-2.1213203435596433</v>
      </c>
      <c r="M37" s="76">
        <f t="shared" si="4"/>
        <v>-0.99999999999999956</v>
      </c>
      <c r="N37" s="76">
        <f t="shared" si="3"/>
        <v>-1.0000000000000002</v>
      </c>
      <c r="P37" s="77" t="s">
        <v>463</v>
      </c>
      <c r="Y37" s="7" t="str">
        <f t="shared" si="11"/>
        <v>[TestCase(-1, -1, -3.535534, -2.12132, 3, -2, 4, -3)]  // Translated &amp; Rotated system with x-axis towards global Quad 4, local coord in Quad 3</v>
      </c>
    </row>
    <row r="38" spans="1:25" x14ac:dyDescent="0.3">
      <c r="I38" s="7"/>
      <c r="J38" s="7"/>
      <c r="P38" s="7"/>
    </row>
    <row r="39" spans="1:25" x14ac:dyDescent="0.3">
      <c r="I39" s="7"/>
      <c r="J39" s="7"/>
      <c r="P39" s="7"/>
    </row>
    <row r="40" spans="1:25" x14ac:dyDescent="0.3">
      <c r="I40" s="7"/>
      <c r="J40" s="7"/>
      <c r="P40" s="7"/>
    </row>
    <row r="41" spans="1:25" x14ac:dyDescent="0.3">
      <c r="I41" s="7"/>
      <c r="J41" s="7"/>
      <c r="P41" s="7"/>
    </row>
    <row r="42" spans="1:25" x14ac:dyDescent="0.3">
      <c r="I42" s="7"/>
      <c r="J42" s="7"/>
      <c r="P42" s="7"/>
    </row>
    <row r="43" spans="1:25" x14ac:dyDescent="0.3">
      <c r="I43" s="7"/>
      <c r="J43" s="7"/>
      <c r="P43" s="7"/>
    </row>
    <row r="44" spans="1:25" x14ac:dyDescent="0.3">
      <c r="I44" s="7"/>
      <c r="J44" s="7"/>
      <c r="P44" s="7"/>
    </row>
    <row r="45" spans="1:25" x14ac:dyDescent="0.3">
      <c r="I45" s="7"/>
      <c r="J45" s="7"/>
      <c r="P45" s="7"/>
    </row>
    <row r="46" spans="1:25" x14ac:dyDescent="0.3">
      <c r="I46" s="7"/>
      <c r="J46" s="7"/>
      <c r="P46" s="7"/>
    </row>
    <row r="47" spans="1:25" x14ac:dyDescent="0.3">
      <c r="I47" s="7"/>
      <c r="J47" s="7"/>
      <c r="P47" s="7"/>
    </row>
    <row r="48" spans="1:25" x14ac:dyDescent="0.3">
      <c r="I48" s="7"/>
      <c r="J48" s="7"/>
      <c r="P48" s="7"/>
    </row>
    <row r="49" spans="9:16" x14ac:dyDescent="0.3">
      <c r="I49" s="7"/>
      <c r="J49" s="7"/>
      <c r="P49" s="7"/>
    </row>
    <row r="50" spans="9:16" x14ac:dyDescent="0.3">
      <c r="I50" s="7"/>
      <c r="J50" s="7"/>
      <c r="P50" s="7"/>
    </row>
    <row r="51" spans="9:16" x14ac:dyDescent="0.3">
      <c r="I51" s="7"/>
      <c r="J51" s="7"/>
      <c r="P51" s="7"/>
    </row>
    <row r="52" spans="9:16" x14ac:dyDescent="0.3">
      <c r="I52" s="7"/>
      <c r="J52" s="7"/>
      <c r="P52" s="7"/>
    </row>
    <row r="53" spans="9:16" x14ac:dyDescent="0.3">
      <c r="I53" s="7"/>
      <c r="J53" s="7"/>
      <c r="P53" s="7"/>
    </row>
  </sheetData>
  <mergeCells count="6">
    <mergeCell ref="M9:N9"/>
    <mergeCell ref="I9:J9"/>
    <mergeCell ref="C9:D9"/>
    <mergeCell ref="A9:B9"/>
    <mergeCell ref="K9:L9"/>
    <mergeCell ref="E9:H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26FBA-2F22-49C8-A893-1AD8FE345BBB}">
  <sheetPr codeName="Sheet14"/>
  <dimension ref="A1:BC77"/>
  <sheetViews>
    <sheetView topLeftCell="U5" workbookViewId="0">
      <selection activeCell="AH13" sqref="AH13:AI15"/>
    </sheetView>
  </sheetViews>
  <sheetFormatPr defaultRowHeight="14.4" x14ac:dyDescent="0.3"/>
  <cols>
    <col min="1" max="1" width="9.88671875" bestFit="1" customWidth="1"/>
    <col min="16" max="16" width="10.109375" bestFit="1" customWidth="1"/>
    <col min="17" max="17" width="10.5546875" bestFit="1" customWidth="1"/>
    <col min="32" max="32" width="10.109375" bestFit="1" customWidth="1"/>
    <col min="33" max="33" width="10.5546875" bestFit="1" customWidth="1"/>
  </cols>
  <sheetData>
    <row r="1" spans="1:55" x14ac:dyDescent="0.3">
      <c r="C1" t="s">
        <v>242</v>
      </c>
      <c r="D1" s="10">
        <v>180</v>
      </c>
      <c r="E1">
        <f>RADIANS(D1)</f>
        <v>3.1415926535897931</v>
      </c>
    </row>
    <row r="2" spans="1:55" x14ac:dyDescent="0.3">
      <c r="J2" s="119" t="s">
        <v>22</v>
      </c>
      <c r="K2" s="119"/>
      <c r="L2" s="119" t="s">
        <v>23</v>
      </c>
      <c r="M2" s="119"/>
    </row>
    <row r="3" spans="1:55" x14ac:dyDescent="0.3">
      <c r="H3" s="119" t="s">
        <v>256</v>
      </c>
      <c r="I3" s="119"/>
      <c r="J3" t="s">
        <v>244</v>
      </c>
      <c r="K3" t="s">
        <v>173</v>
      </c>
      <c r="L3" t="s">
        <v>244</v>
      </c>
      <c r="M3" t="s">
        <v>173</v>
      </c>
    </row>
    <row r="4" spans="1:55" x14ac:dyDescent="0.3">
      <c r="B4" t="s">
        <v>153</v>
      </c>
      <c r="C4" t="s">
        <v>154</v>
      </c>
      <c r="D4" t="s">
        <v>155</v>
      </c>
      <c r="E4" t="s">
        <v>245</v>
      </c>
      <c r="F4" t="s">
        <v>243</v>
      </c>
      <c r="G4" t="s">
        <v>246</v>
      </c>
      <c r="H4" t="s">
        <v>255</v>
      </c>
      <c r="I4" t="s">
        <v>254</v>
      </c>
    </row>
    <row r="5" spans="1:55" x14ac:dyDescent="0.3">
      <c r="A5" t="s">
        <v>247</v>
      </c>
      <c r="B5" s="10">
        <v>2</v>
      </c>
      <c r="C5" s="10">
        <v>2</v>
      </c>
      <c r="D5">
        <f>SQRT(B5^2-C5^2)</f>
        <v>0</v>
      </c>
      <c r="E5" t="e">
        <f>B5^2/$D5</f>
        <v>#DIV/0!</v>
      </c>
      <c r="F5" t="e">
        <f>C5^2/$D5</f>
        <v>#DIV/0!</v>
      </c>
      <c r="G5">
        <f>D5/B5</f>
        <v>0</v>
      </c>
      <c r="H5" s="10">
        <f>B5</f>
        <v>2</v>
      </c>
      <c r="I5" s="51">
        <f>B5</f>
        <v>2</v>
      </c>
      <c r="J5" s="31">
        <f>-$D5+$H5*COS($E$1)</f>
        <v>-2</v>
      </c>
      <c r="K5" s="31">
        <f>$D5+$I5*COS($E$1)</f>
        <v>-2</v>
      </c>
      <c r="L5" s="31">
        <f>$H5*SIN($E$1)</f>
        <v>2.45029690981724E-16</v>
      </c>
      <c r="M5">
        <f>$I5*SIN($E$1)</f>
        <v>2.45029690981724E-16</v>
      </c>
    </row>
    <row r="6" spans="1:55" x14ac:dyDescent="0.3">
      <c r="A6" t="s">
        <v>248</v>
      </c>
      <c r="B6" s="10">
        <v>4</v>
      </c>
      <c r="C6" s="10">
        <v>2</v>
      </c>
      <c r="D6" s="31">
        <f>SQRT(B6^2-C6^2)</f>
        <v>3.4641016151377544</v>
      </c>
      <c r="E6">
        <f>B6^2/$D6</f>
        <v>4.6188021535170067</v>
      </c>
      <c r="F6">
        <f>C6^2/$D6</f>
        <v>1.1547005383792517</v>
      </c>
      <c r="G6" s="31">
        <f>D6/B6</f>
        <v>0.8660254037844386</v>
      </c>
      <c r="H6" s="46">
        <f>G6*F6/(1-G6*COS($E$1))</f>
        <v>0.53589838486224539</v>
      </c>
      <c r="I6" s="49">
        <f>G6*F6/(1+G6*COS($E$1))</f>
        <v>7.4641016151377517</v>
      </c>
      <c r="J6" s="48">
        <f>-$D6+$H6*COS($E$1)</f>
        <v>-4</v>
      </c>
      <c r="K6" s="48">
        <f>$D6+$I6*COS($E$1)</f>
        <v>-3.9999999999999973</v>
      </c>
      <c r="L6" s="43">
        <f>$H6*SIN($E$1)</f>
        <v>6.5655507820200489E-17</v>
      </c>
      <c r="M6">
        <f t="shared" ref="M6:M8" si="0">$I6*SIN($E$1)</f>
        <v>9.1446325610669521E-16</v>
      </c>
      <c r="N6" s="41">
        <f>B6-D6</f>
        <v>0.53589838486224561</v>
      </c>
      <c r="O6" s="42" t="s">
        <v>252</v>
      </c>
      <c r="P6" s="1"/>
    </row>
    <row r="7" spans="1:55" x14ac:dyDescent="0.3">
      <c r="A7" t="s">
        <v>249</v>
      </c>
      <c r="B7" s="10">
        <v>2</v>
      </c>
      <c r="C7" s="10">
        <v>0</v>
      </c>
      <c r="D7">
        <f>B7</f>
        <v>2</v>
      </c>
      <c r="E7">
        <f>-B7</f>
        <v>-2</v>
      </c>
      <c r="F7">
        <f>2*B7</f>
        <v>4</v>
      </c>
      <c r="G7">
        <f>D7/B7</f>
        <v>1</v>
      </c>
      <c r="I7" s="46">
        <f>G7*F7/(1-G7*COS($E$1))</f>
        <v>2</v>
      </c>
      <c r="J7" s="45"/>
      <c r="K7" s="48">
        <f>$B7+$I7*COS($E$1)</f>
        <v>0</v>
      </c>
      <c r="L7" s="43">
        <f>$I7*SIN($E$1)</f>
        <v>2.45029690981724E-16</v>
      </c>
      <c r="M7">
        <f t="shared" si="0"/>
        <v>2.45029690981724E-16</v>
      </c>
      <c r="N7" s="33">
        <f>B7</f>
        <v>2</v>
      </c>
      <c r="O7" s="33" t="s">
        <v>251</v>
      </c>
    </row>
    <row r="8" spans="1:55" x14ac:dyDescent="0.3">
      <c r="A8" t="s">
        <v>250</v>
      </c>
      <c r="B8" s="10">
        <v>2</v>
      </c>
      <c r="C8" s="10">
        <v>4</v>
      </c>
      <c r="D8" s="31">
        <f>SQRT(B8^2+C8^2)</f>
        <v>4.4721359549995796</v>
      </c>
      <c r="E8">
        <f>B8^2/$D8</f>
        <v>0.89442719099991586</v>
      </c>
      <c r="F8">
        <f>C8^2/$D8</f>
        <v>3.5777087639996634</v>
      </c>
      <c r="G8" s="31">
        <f>D8/B8</f>
        <v>2.2360679774997898</v>
      </c>
      <c r="H8" s="50">
        <f>(G8*F8/(1+G8*COS($E$1)))</f>
        <v>-6.4721359549995787</v>
      </c>
      <c r="I8" s="44">
        <f>G8*F8/(1-G8*COS($E$1))</f>
        <v>2.4721359549995792</v>
      </c>
      <c r="J8" s="48">
        <f>-$D8+$H8*COS($E$1)</f>
        <v>1.9999999999999991</v>
      </c>
      <c r="K8" s="48">
        <f>$D8+$I8*COS($E$1)</f>
        <v>2.0000000000000004</v>
      </c>
      <c r="L8" s="43">
        <f>$H8*SIN($E$1)</f>
        <v>-7.9293273652262594E-16</v>
      </c>
      <c r="M8">
        <f t="shared" si="0"/>
        <v>3.0287335455917803E-16</v>
      </c>
      <c r="N8" s="33">
        <f>B8+H8</f>
        <v>-4.4721359549995787</v>
      </c>
      <c r="O8" s="42" t="s">
        <v>253</v>
      </c>
    </row>
    <row r="11" spans="1:55" s="2" customFormat="1" x14ac:dyDescent="0.3">
      <c r="A11" s="2" t="s">
        <v>477</v>
      </c>
    </row>
    <row r="12" spans="1:55" x14ac:dyDescent="0.3">
      <c r="J12" s="127" t="s">
        <v>325</v>
      </c>
      <c r="K12" s="128"/>
      <c r="L12" s="128"/>
      <c r="M12" s="128"/>
      <c r="N12" s="128"/>
      <c r="O12" s="128"/>
      <c r="P12" s="128"/>
      <c r="Q12" s="128"/>
      <c r="R12" s="128"/>
      <c r="S12" s="129"/>
      <c r="T12" s="127" t="s">
        <v>326</v>
      </c>
      <c r="U12" s="128"/>
      <c r="V12" s="128"/>
      <c r="W12" s="128"/>
      <c r="X12" s="128"/>
      <c r="Y12" s="128"/>
      <c r="Z12" s="128"/>
      <c r="AA12" s="128"/>
      <c r="AB12" s="128"/>
      <c r="AC12" s="129"/>
      <c r="AH12" s="127" t="s">
        <v>488</v>
      </c>
      <c r="AI12" s="128"/>
      <c r="AJ12" s="128"/>
      <c r="AK12" s="128"/>
      <c r="AL12" s="128"/>
      <c r="AM12" s="128"/>
      <c r="AN12" s="128"/>
      <c r="AO12" s="128"/>
      <c r="AP12" s="128"/>
      <c r="AQ12" s="129"/>
      <c r="AR12" s="127" t="s">
        <v>489</v>
      </c>
      <c r="AS12" s="128"/>
      <c r="AT12" s="128"/>
      <c r="AU12" s="128"/>
      <c r="AV12" s="128"/>
      <c r="AW12" s="128"/>
      <c r="AX12" s="128"/>
      <c r="AY12" s="128"/>
      <c r="AZ12" s="128"/>
      <c r="BA12" s="129"/>
    </row>
    <row r="13" spans="1:55" x14ac:dyDescent="0.3">
      <c r="A13" s="119" t="s">
        <v>482</v>
      </c>
      <c r="B13" s="119"/>
      <c r="C13" t="s">
        <v>414</v>
      </c>
      <c r="J13" s="126" t="s">
        <v>481</v>
      </c>
      <c r="K13" s="124"/>
      <c r="L13" s="122" t="s">
        <v>485</v>
      </c>
      <c r="M13" s="123"/>
      <c r="N13" s="124" t="s">
        <v>256</v>
      </c>
      <c r="O13" s="124"/>
      <c r="P13" s="122" t="s">
        <v>486</v>
      </c>
      <c r="Q13" s="123"/>
      <c r="R13" s="124" t="s">
        <v>487</v>
      </c>
      <c r="S13" s="125"/>
      <c r="T13" s="126" t="s">
        <v>481</v>
      </c>
      <c r="U13" s="124"/>
      <c r="V13" s="122" t="s">
        <v>485</v>
      </c>
      <c r="W13" s="123"/>
      <c r="X13" s="124" t="s">
        <v>256</v>
      </c>
      <c r="Y13" s="124"/>
      <c r="Z13" s="122" t="s">
        <v>486</v>
      </c>
      <c r="AA13" s="123"/>
      <c r="AB13" s="124" t="s">
        <v>487</v>
      </c>
      <c r="AC13" s="125"/>
      <c r="AD13" s="121" t="s">
        <v>441</v>
      </c>
      <c r="AE13" s="121"/>
      <c r="AF13" s="121"/>
      <c r="AG13" s="121"/>
      <c r="AH13" s="126" t="s">
        <v>481</v>
      </c>
      <c r="AI13" s="124"/>
      <c r="AJ13" s="122" t="s">
        <v>485</v>
      </c>
      <c r="AK13" s="123"/>
      <c r="AL13" s="124" t="s">
        <v>256</v>
      </c>
      <c r="AM13" s="124"/>
      <c r="AN13" s="122" t="s">
        <v>486</v>
      </c>
      <c r="AO13" s="123"/>
      <c r="AP13" s="124" t="s">
        <v>487</v>
      </c>
      <c r="AQ13" s="125"/>
      <c r="AR13" s="126" t="s">
        <v>481</v>
      </c>
      <c r="AS13" s="124"/>
      <c r="AT13" s="122" t="s">
        <v>485</v>
      </c>
      <c r="AU13" s="123"/>
      <c r="AV13" s="124" t="s">
        <v>256</v>
      </c>
      <c r="AW13" s="124"/>
      <c r="AX13" s="122" t="s">
        <v>486</v>
      </c>
      <c r="AY13" s="123"/>
      <c r="AZ13" s="124" t="s">
        <v>487</v>
      </c>
      <c r="BA13" s="125"/>
    </row>
    <row r="14" spans="1:55" ht="15" thickBot="1" x14ac:dyDescent="0.35">
      <c r="A14" t="s">
        <v>22</v>
      </c>
      <c r="B14" t="s">
        <v>23</v>
      </c>
      <c r="C14" t="s">
        <v>483</v>
      </c>
      <c r="D14" t="s">
        <v>153</v>
      </c>
      <c r="E14" t="s">
        <v>154</v>
      </c>
      <c r="F14" t="s">
        <v>155</v>
      </c>
      <c r="G14" t="s">
        <v>245</v>
      </c>
      <c r="H14" t="s">
        <v>243</v>
      </c>
      <c r="I14" t="s">
        <v>246</v>
      </c>
      <c r="J14" s="90" t="s">
        <v>22</v>
      </c>
      <c r="K14" s="16" t="s">
        <v>23</v>
      </c>
      <c r="L14" s="15" t="s">
        <v>22</v>
      </c>
      <c r="M14" s="19" t="s">
        <v>23</v>
      </c>
      <c r="N14" s="16" t="s">
        <v>22</v>
      </c>
      <c r="O14" s="16" t="s">
        <v>23</v>
      </c>
      <c r="P14" s="15" t="s">
        <v>22</v>
      </c>
      <c r="Q14" s="19" t="s">
        <v>23</v>
      </c>
      <c r="R14" s="16" t="s">
        <v>22</v>
      </c>
      <c r="S14" s="91" t="s">
        <v>23</v>
      </c>
      <c r="T14" s="90" t="s">
        <v>22</v>
      </c>
      <c r="U14" s="16" t="s">
        <v>23</v>
      </c>
      <c r="V14" s="15" t="s">
        <v>22</v>
      </c>
      <c r="W14" s="19" t="s">
        <v>23</v>
      </c>
      <c r="X14" s="16" t="s">
        <v>22</v>
      </c>
      <c r="Y14" s="16" t="s">
        <v>23</v>
      </c>
      <c r="Z14" s="15" t="s">
        <v>22</v>
      </c>
      <c r="AA14" s="19" t="s">
        <v>23</v>
      </c>
      <c r="AB14" s="16" t="s">
        <v>22</v>
      </c>
      <c r="AC14" s="91" t="s">
        <v>23</v>
      </c>
      <c r="AD14" s="6" t="s">
        <v>22</v>
      </c>
      <c r="AE14" s="6" t="s">
        <v>23</v>
      </c>
      <c r="AF14" s="6" t="s">
        <v>442</v>
      </c>
      <c r="AG14" s="6" t="s">
        <v>443</v>
      </c>
      <c r="AH14" s="90" t="s">
        <v>22</v>
      </c>
      <c r="AI14" s="16" t="s">
        <v>23</v>
      </c>
      <c r="AJ14" s="15" t="s">
        <v>22</v>
      </c>
      <c r="AK14" s="19" t="s">
        <v>23</v>
      </c>
      <c r="AL14" s="16" t="s">
        <v>22</v>
      </c>
      <c r="AM14" s="16" t="s">
        <v>23</v>
      </c>
      <c r="AN14" s="15" t="s">
        <v>22</v>
      </c>
      <c r="AO14" s="19" t="s">
        <v>23</v>
      </c>
      <c r="AP14" s="16" t="s">
        <v>22</v>
      </c>
      <c r="AQ14" s="91" t="s">
        <v>23</v>
      </c>
      <c r="AR14" s="90" t="s">
        <v>22</v>
      </c>
      <c r="AS14" s="16" t="s">
        <v>23</v>
      </c>
      <c r="AT14" s="15" t="s">
        <v>22</v>
      </c>
      <c r="AU14" s="19" t="s">
        <v>23</v>
      </c>
      <c r="AV14" s="16" t="s">
        <v>22</v>
      </c>
      <c r="AW14" s="16" t="s">
        <v>23</v>
      </c>
      <c r="AX14" s="15" t="s">
        <v>22</v>
      </c>
      <c r="AY14" s="19" t="s">
        <v>23</v>
      </c>
      <c r="AZ14" s="16" t="s">
        <v>22</v>
      </c>
      <c r="BA14" s="91" t="s">
        <v>23</v>
      </c>
    </row>
    <row r="15" spans="1:55" ht="15" thickTop="1" x14ac:dyDescent="0.3">
      <c r="A15" s="94">
        <v>0</v>
      </c>
      <c r="B15" s="94">
        <v>0</v>
      </c>
      <c r="C15" s="94">
        <v>0</v>
      </c>
      <c r="D15" s="94">
        <v>3</v>
      </c>
      <c r="E15" s="94">
        <v>3</v>
      </c>
      <c r="F15" s="95">
        <f t="shared" ref="F15:F26" si="1">SQRT(D15^2-E15^2)</f>
        <v>0</v>
      </c>
      <c r="G15" s="95" t="e">
        <f t="shared" ref="G15:G26" si="2">D15^2/$F15</f>
        <v>#DIV/0!</v>
      </c>
      <c r="H15" s="95">
        <f t="shared" ref="H15:H26" si="3">E15^2/$E15</f>
        <v>3</v>
      </c>
      <c r="I15" s="95">
        <f t="shared" ref="I15:I26" si="4">F15/D15</f>
        <v>0</v>
      </c>
      <c r="J15" s="97">
        <f t="shared" ref="J15:J27" si="5">$D15</f>
        <v>3</v>
      </c>
      <c r="K15" s="98">
        <v>0</v>
      </c>
      <c r="L15" s="100">
        <v>0</v>
      </c>
      <c r="M15" s="101">
        <f t="shared" ref="M15:M26" si="6">$E15</f>
        <v>3</v>
      </c>
      <c r="N15" s="98">
        <f t="shared" ref="N15:N26" si="7">$F15</f>
        <v>0</v>
      </c>
      <c r="O15" s="98">
        <v>0</v>
      </c>
      <c r="P15" s="100" t="e">
        <f t="shared" ref="P15:P26" si="8">$G15</f>
        <v>#DIV/0!</v>
      </c>
      <c r="Q15" s="101">
        <v>0</v>
      </c>
      <c r="R15" s="98" t="e">
        <f t="shared" ref="R15:R26" si="9">$G15</f>
        <v>#DIV/0!</v>
      </c>
      <c r="S15" s="99">
        <v>1</v>
      </c>
      <c r="T15" s="97">
        <f t="shared" ref="T15:T27" si="10">-$D15</f>
        <v>-3</v>
      </c>
      <c r="U15" s="98">
        <v>0</v>
      </c>
      <c r="V15" s="100">
        <v>0</v>
      </c>
      <c r="W15" s="101">
        <f t="shared" ref="W15:W26" si="11">-$E15</f>
        <v>-3</v>
      </c>
      <c r="X15" s="98">
        <f t="shared" ref="X15:X26" si="12">-$F15</f>
        <v>0</v>
      </c>
      <c r="Y15" s="98">
        <v>0</v>
      </c>
      <c r="Z15" s="100" t="e">
        <f t="shared" ref="Z15:Z26" si="13">-$G15</f>
        <v>#DIV/0!</v>
      </c>
      <c r="AA15" s="101">
        <v>0</v>
      </c>
      <c r="AB15" s="98" t="e">
        <f t="shared" ref="AB15:AB26" si="14">-$G15</f>
        <v>#DIV/0!</v>
      </c>
      <c r="AC15" s="99">
        <v>1</v>
      </c>
      <c r="AD15" s="96">
        <f t="shared" ref="AD15:AD26" si="15">A15</f>
        <v>0</v>
      </c>
      <c r="AE15" s="96">
        <f t="shared" ref="AE15:AE26" si="16">B15</f>
        <v>0</v>
      </c>
      <c r="AF15" s="96">
        <f t="shared" ref="AF15:AF26" si="17">C15</f>
        <v>0</v>
      </c>
      <c r="AG15" s="96">
        <f t="shared" ref="AG15:AG26" si="18">DEGREES(AF15)</f>
        <v>0</v>
      </c>
      <c r="AH15" s="97">
        <f>ROUND(J15*COS($AF15)-K15*SIN($AF15)+$AD15,6)</f>
        <v>3</v>
      </c>
      <c r="AI15" s="98">
        <f>ROUND(J15*SIN($AF15)+K15*COS($AF15)+$AE15,6)</f>
        <v>0</v>
      </c>
      <c r="AJ15" s="100">
        <f t="shared" ref="AJ15:AJ20" si="19">ROUND(L15*COS($AF15)-M15*SIN($AF15)+$AD15,6)</f>
        <v>0</v>
      </c>
      <c r="AK15" s="101">
        <f t="shared" ref="AK15:AK20" si="20">ROUND(L15*SIN($AF15)+M15*COS($AF15)+$AE15,6)</f>
        <v>3</v>
      </c>
      <c r="AL15" s="98">
        <f t="shared" ref="AL15:AL20" si="21">ROUND(N15*COS($AF15)-O15*SIN($AF15)+$AD15,6)</f>
        <v>0</v>
      </c>
      <c r="AM15" s="98">
        <f t="shared" ref="AM15:AM20" si="22">ROUND(N15*SIN($AF15)+O15*COS($AF15)+$AE15,6)</f>
        <v>0</v>
      </c>
      <c r="AN15" s="100" t="e">
        <f t="shared" ref="AN15:AN20" si="23">ROUND(P15*COS($AF15)-Q15*SIN($AF15)+$AD15,6)</f>
        <v>#DIV/0!</v>
      </c>
      <c r="AO15" s="101" t="e">
        <f t="shared" ref="AO15:AO20" si="24">ROUND(P15*SIN($AF15)+Q15*COS($AF15)+$AE15,6)</f>
        <v>#DIV/0!</v>
      </c>
      <c r="AP15" s="98" t="e">
        <f t="shared" ref="AP15:AP20" si="25">ROUND(R15*COS($AF15)-S15*SIN($AF15)+$AD15,6)</f>
        <v>#DIV/0!</v>
      </c>
      <c r="AQ15" s="99" t="e">
        <f t="shared" ref="AQ15:AQ20" si="26">ROUND(R15*SIN($AF15)+S15*COS($AF15)+$AE15,6)</f>
        <v>#DIV/0!</v>
      </c>
      <c r="AR15" s="97">
        <f t="shared" ref="AR15:AR20" si="27">ROUND(T15*COS($AF15)-U15*SIN($AF15)+$AD15,6)</f>
        <v>-3</v>
      </c>
      <c r="AS15" s="98">
        <f t="shared" ref="AS15:AS20" si="28">ROUND(T15*SIN($AF15)+U15*COS($AF15)+$AE15,6)</f>
        <v>0</v>
      </c>
      <c r="AT15" s="100">
        <f t="shared" ref="AT15:AT20" si="29">ROUND(V15*COS($AF15)-W15*SIN($AF15)+$AD15,6)</f>
        <v>0</v>
      </c>
      <c r="AU15" s="101">
        <f t="shared" ref="AU15:AU20" si="30">ROUND(V15*SIN($AF15)+W15*COS($AF15)+$AE15,6)</f>
        <v>-3</v>
      </c>
      <c r="AV15" s="98">
        <f t="shared" ref="AV15:AV20" si="31">ROUND(X15*COS($AF15)-Y15*SIN($AF15)+$AD15,6)</f>
        <v>0</v>
      </c>
      <c r="AW15" s="98">
        <f t="shared" ref="AW15:AW20" si="32">ROUND(X15*SIN($AF15)+Y15*COS($AF15)+$AE15,6)</f>
        <v>0</v>
      </c>
      <c r="AX15" s="100" t="e">
        <f t="shared" ref="AX15:AX20" si="33">ROUND(Z15*COS($AF15)-AA15*SIN($AF15)+$AD15,6)</f>
        <v>#DIV/0!</v>
      </c>
      <c r="AY15" s="101" t="e">
        <f t="shared" ref="AY15:AY20" si="34">ROUND(Z15*SIN($AF15)+AA15*COS($AF15)+$AE15,6)</f>
        <v>#DIV/0!</v>
      </c>
      <c r="AZ15" s="98" t="e">
        <f t="shared" ref="AZ15:AZ20" si="35">ROUND(AB15*COS($AF15)-AC15*SIN($AF15)+$AD15,6)</f>
        <v>#DIV/0!</v>
      </c>
      <c r="BA15" s="99" t="e">
        <f t="shared" ref="BA15:BA20" si="36">ROUND(AB15*SIN($AF15)+AC15*COS($AF15)+$AE15,6)</f>
        <v>#DIV/0!</v>
      </c>
      <c r="BC15" t="s">
        <v>490</v>
      </c>
    </row>
    <row r="16" spans="1:55" s="16" customFormat="1" x14ac:dyDescent="0.3">
      <c r="A16" s="40">
        <v>4</v>
      </c>
      <c r="B16" s="40">
        <v>5</v>
      </c>
      <c r="C16" s="40">
        <v>0</v>
      </c>
      <c r="D16" s="40">
        <v>3</v>
      </c>
      <c r="E16" s="40">
        <v>3</v>
      </c>
      <c r="F16" s="16">
        <f t="shared" si="1"/>
        <v>0</v>
      </c>
      <c r="G16" s="16" t="e">
        <f t="shared" si="2"/>
        <v>#DIV/0!</v>
      </c>
      <c r="H16" s="16">
        <f t="shared" si="3"/>
        <v>3</v>
      </c>
      <c r="I16" s="16">
        <f t="shared" si="4"/>
        <v>0</v>
      </c>
      <c r="J16" s="92">
        <f t="shared" si="5"/>
        <v>3</v>
      </c>
      <c r="K16" s="67">
        <v>0</v>
      </c>
      <c r="L16" s="68">
        <v>0</v>
      </c>
      <c r="M16" s="69">
        <f t="shared" si="6"/>
        <v>3</v>
      </c>
      <c r="N16" s="67">
        <f t="shared" si="7"/>
        <v>0</v>
      </c>
      <c r="O16" s="67">
        <v>0</v>
      </c>
      <c r="P16" s="68" t="e">
        <f t="shared" si="8"/>
        <v>#DIV/0!</v>
      </c>
      <c r="Q16" s="69">
        <v>0</v>
      </c>
      <c r="R16" s="67" t="e">
        <f t="shared" si="9"/>
        <v>#DIV/0!</v>
      </c>
      <c r="S16" s="93">
        <v>1</v>
      </c>
      <c r="T16" s="92">
        <f t="shared" si="10"/>
        <v>-3</v>
      </c>
      <c r="U16" s="67">
        <v>0</v>
      </c>
      <c r="V16" s="68">
        <v>0</v>
      </c>
      <c r="W16" s="69">
        <f t="shared" si="11"/>
        <v>-3</v>
      </c>
      <c r="X16" s="67">
        <f t="shared" si="12"/>
        <v>0</v>
      </c>
      <c r="Y16" s="67">
        <v>0</v>
      </c>
      <c r="Z16" s="68" t="e">
        <f t="shared" si="13"/>
        <v>#DIV/0!</v>
      </c>
      <c r="AA16" s="69">
        <v>0</v>
      </c>
      <c r="AB16" s="67" t="e">
        <f t="shared" si="14"/>
        <v>#DIV/0!</v>
      </c>
      <c r="AC16" s="93">
        <v>1</v>
      </c>
      <c r="AD16" s="102">
        <f t="shared" si="15"/>
        <v>4</v>
      </c>
      <c r="AE16" s="102">
        <f t="shared" si="16"/>
        <v>5</v>
      </c>
      <c r="AF16" s="102">
        <f t="shared" si="17"/>
        <v>0</v>
      </c>
      <c r="AG16" s="102">
        <f t="shared" si="18"/>
        <v>0</v>
      </c>
      <c r="AH16" s="92">
        <f t="shared" ref="AH16:AH20" si="37">ROUND(J16*COS($AF16)-K16*SIN($AF16)+$AD16,6)</f>
        <v>7</v>
      </c>
      <c r="AI16" s="67">
        <f t="shared" ref="AI16:AI20" si="38">ROUND(J16*SIN($AF16)+K16*COS($AF16)+$AE16,6)</f>
        <v>5</v>
      </c>
      <c r="AJ16" s="68">
        <f t="shared" si="19"/>
        <v>4</v>
      </c>
      <c r="AK16" s="69">
        <f t="shared" si="20"/>
        <v>8</v>
      </c>
      <c r="AL16" s="67">
        <f t="shared" si="21"/>
        <v>4</v>
      </c>
      <c r="AM16" s="67">
        <f t="shared" si="22"/>
        <v>5</v>
      </c>
      <c r="AN16" s="68" t="e">
        <f t="shared" si="23"/>
        <v>#DIV/0!</v>
      </c>
      <c r="AO16" s="69" t="e">
        <f t="shared" si="24"/>
        <v>#DIV/0!</v>
      </c>
      <c r="AP16" s="67" t="e">
        <f t="shared" si="25"/>
        <v>#DIV/0!</v>
      </c>
      <c r="AQ16" s="93" t="e">
        <f t="shared" si="26"/>
        <v>#DIV/0!</v>
      </c>
      <c r="AR16" s="92">
        <f t="shared" si="27"/>
        <v>1</v>
      </c>
      <c r="AS16" s="67">
        <f t="shared" si="28"/>
        <v>5</v>
      </c>
      <c r="AT16" s="68">
        <f t="shared" si="29"/>
        <v>4</v>
      </c>
      <c r="AU16" s="69">
        <f t="shared" si="30"/>
        <v>2</v>
      </c>
      <c r="AV16" s="67">
        <f t="shared" si="31"/>
        <v>4</v>
      </c>
      <c r="AW16" s="67">
        <f t="shared" si="32"/>
        <v>5</v>
      </c>
      <c r="AX16" s="68" t="e">
        <f t="shared" si="33"/>
        <v>#DIV/0!</v>
      </c>
      <c r="AY16" s="69" t="e">
        <f t="shared" si="34"/>
        <v>#DIV/0!</v>
      </c>
      <c r="AZ16" s="67" t="e">
        <f t="shared" si="35"/>
        <v>#DIV/0!</v>
      </c>
      <c r="BA16" s="93" t="e">
        <f t="shared" si="36"/>
        <v>#DIV/0!</v>
      </c>
      <c r="BC16" s="16" t="s">
        <v>491</v>
      </c>
    </row>
    <row r="17" spans="1:55" s="16" customFormat="1" x14ac:dyDescent="0.3">
      <c r="A17" s="40">
        <v>-4</v>
      </c>
      <c r="B17" s="40">
        <v>5</v>
      </c>
      <c r="C17" s="40">
        <v>0</v>
      </c>
      <c r="D17" s="40">
        <v>3</v>
      </c>
      <c r="E17" s="40">
        <v>3</v>
      </c>
      <c r="F17" s="16">
        <f t="shared" si="1"/>
        <v>0</v>
      </c>
      <c r="G17" s="16" t="e">
        <f t="shared" si="2"/>
        <v>#DIV/0!</v>
      </c>
      <c r="H17" s="16">
        <f t="shared" si="3"/>
        <v>3</v>
      </c>
      <c r="I17" s="16">
        <f t="shared" si="4"/>
        <v>0</v>
      </c>
      <c r="J17" s="92">
        <f t="shared" si="5"/>
        <v>3</v>
      </c>
      <c r="K17" s="67">
        <v>0</v>
      </c>
      <c r="L17" s="68">
        <v>0</v>
      </c>
      <c r="M17" s="69">
        <f t="shared" si="6"/>
        <v>3</v>
      </c>
      <c r="N17" s="67">
        <f t="shared" si="7"/>
        <v>0</v>
      </c>
      <c r="O17" s="67">
        <v>0</v>
      </c>
      <c r="P17" s="68" t="e">
        <f t="shared" si="8"/>
        <v>#DIV/0!</v>
      </c>
      <c r="Q17" s="69">
        <v>0</v>
      </c>
      <c r="R17" s="67" t="e">
        <f t="shared" si="9"/>
        <v>#DIV/0!</v>
      </c>
      <c r="S17" s="93">
        <v>1</v>
      </c>
      <c r="T17" s="92">
        <f t="shared" si="10"/>
        <v>-3</v>
      </c>
      <c r="U17" s="67">
        <v>0</v>
      </c>
      <c r="V17" s="68">
        <v>0</v>
      </c>
      <c r="W17" s="69">
        <f t="shared" si="11"/>
        <v>-3</v>
      </c>
      <c r="X17" s="67">
        <f t="shared" si="12"/>
        <v>0</v>
      </c>
      <c r="Y17" s="67">
        <v>0</v>
      </c>
      <c r="Z17" s="68" t="e">
        <f t="shared" si="13"/>
        <v>#DIV/0!</v>
      </c>
      <c r="AA17" s="69">
        <v>0</v>
      </c>
      <c r="AB17" s="67" t="e">
        <f t="shared" si="14"/>
        <v>#DIV/0!</v>
      </c>
      <c r="AC17" s="93">
        <v>1</v>
      </c>
      <c r="AD17" s="102">
        <f t="shared" si="15"/>
        <v>-4</v>
      </c>
      <c r="AE17" s="102">
        <f t="shared" si="16"/>
        <v>5</v>
      </c>
      <c r="AF17" s="102">
        <f t="shared" si="17"/>
        <v>0</v>
      </c>
      <c r="AG17" s="102">
        <f t="shared" si="18"/>
        <v>0</v>
      </c>
      <c r="AH17" s="92">
        <f t="shared" si="37"/>
        <v>-1</v>
      </c>
      <c r="AI17" s="67">
        <f t="shared" si="38"/>
        <v>5</v>
      </c>
      <c r="AJ17" s="68">
        <f t="shared" si="19"/>
        <v>-4</v>
      </c>
      <c r="AK17" s="69">
        <f t="shared" si="20"/>
        <v>8</v>
      </c>
      <c r="AL17" s="67">
        <f t="shared" si="21"/>
        <v>-4</v>
      </c>
      <c r="AM17" s="67">
        <f t="shared" si="22"/>
        <v>5</v>
      </c>
      <c r="AN17" s="68" t="e">
        <f t="shared" si="23"/>
        <v>#DIV/0!</v>
      </c>
      <c r="AO17" s="69" t="e">
        <f t="shared" si="24"/>
        <v>#DIV/0!</v>
      </c>
      <c r="AP17" s="67" t="e">
        <f t="shared" si="25"/>
        <v>#DIV/0!</v>
      </c>
      <c r="AQ17" s="93" t="e">
        <f t="shared" si="26"/>
        <v>#DIV/0!</v>
      </c>
      <c r="AR17" s="92">
        <f t="shared" si="27"/>
        <v>-7</v>
      </c>
      <c r="AS17" s="67">
        <f t="shared" si="28"/>
        <v>5</v>
      </c>
      <c r="AT17" s="68">
        <f t="shared" si="29"/>
        <v>-4</v>
      </c>
      <c r="AU17" s="69">
        <f t="shared" si="30"/>
        <v>2</v>
      </c>
      <c r="AV17" s="67">
        <f t="shared" si="31"/>
        <v>-4</v>
      </c>
      <c r="AW17" s="67">
        <f t="shared" si="32"/>
        <v>5</v>
      </c>
      <c r="AX17" s="68" t="e">
        <f t="shared" si="33"/>
        <v>#DIV/0!</v>
      </c>
      <c r="AY17" s="69" t="e">
        <f t="shared" si="34"/>
        <v>#DIV/0!</v>
      </c>
      <c r="AZ17" s="67" t="e">
        <f t="shared" si="35"/>
        <v>#DIV/0!</v>
      </c>
      <c r="BA17" s="93" t="e">
        <f t="shared" si="36"/>
        <v>#DIV/0!</v>
      </c>
      <c r="BC17" s="16" t="s">
        <v>492</v>
      </c>
    </row>
    <row r="18" spans="1:55" s="16" customFormat="1" x14ac:dyDescent="0.3">
      <c r="A18" s="40">
        <v>-4</v>
      </c>
      <c r="B18" s="40">
        <v>-5</v>
      </c>
      <c r="C18" s="40">
        <v>0</v>
      </c>
      <c r="D18" s="40">
        <v>3</v>
      </c>
      <c r="E18" s="40">
        <v>3</v>
      </c>
      <c r="F18" s="16">
        <f t="shared" si="1"/>
        <v>0</v>
      </c>
      <c r="G18" s="16" t="e">
        <f t="shared" si="2"/>
        <v>#DIV/0!</v>
      </c>
      <c r="H18" s="16">
        <f t="shared" si="3"/>
        <v>3</v>
      </c>
      <c r="I18" s="16">
        <f t="shared" si="4"/>
        <v>0</v>
      </c>
      <c r="J18" s="92">
        <f t="shared" si="5"/>
        <v>3</v>
      </c>
      <c r="K18" s="67">
        <v>0</v>
      </c>
      <c r="L18" s="68">
        <v>0</v>
      </c>
      <c r="M18" s="69">
        <f t="shared" si="6"/>
        <v>3</v>
      </c>
      <c r="N18" s="67">
        <f t="shared" si="7"/>
        <v>0</v>
      </c>
      <c r="O18" s="67">
        <v>0</v>
      </c>
      <c r="P18" s="68" t="e">
        <f t="shared" si="8"/>
        <v>#DIV/0!</v>
      </c>
      <c r="Q18" s="69">
        <v>0</v>
      </c>
      <c r="R18" s="67" t="e">
        <f t="shared" si="9"/>
        <v>#DIV/0!</v>
      </c>
      <c r="S18" s="93">
        <v>1</v>
      </c>
      <c r="T18" s="92">
        <f t="shared" si="10"/>
        <v>-3</v>
      </c>
      <c r="U18" s="67">
        <v>0</v>
      </c>
      <c r="V18" s="68">
        <v>0</v>
      </c>
      <c r="W18" s="69">
        <f t="shared" si="11"/>
        <v>-3</v>
      </c>
      <c r="X18" s="67">
        <f t="shared" si="12"/>
        <v>0</v>
      </c>
      <c r="Y18" s="67">
        <v>0</v>
      </c>
      <c r="Z18" s="68" t="e">
        <f t="shared" si="13"/>
        <v>#DIV/0!</v>
      </c>
      <c r="AA18" s="69">
        <v>0</v>
      </c>
      <c r="AB18" s="67" t="e">
        <f t="shared" si="14"/>
        <v>#DIV/0!</v>
      </c>
      <c r="AC18" s="93">
        <v>1</v>
      </c>
      <c r="AD18" s="102">
        <f t="shared" si="15"/>
        <v>-4</v>
      </c>
      <c r="AE18" s="102">
        <f t="shared" si="16"/>
        <v>-5</v>
      </c>
      <c r="AF18" s="102">
        <f t="shared" si="17"/>
        <v>0</v>
      </c>
      <c r="AG18" s="102">
        <f t="shared" si="18"/>
        <v>0</v>
      </c>
      <c r="AH18" s="92">
        <f t="shared" si="37"/>
        <v>-1</v>
      </c>
      <c r="AI18" s="67">
        <f t="shared" si="38"/>
        <v>-5</v>
      </c>
      <c r="AJ18" s="68">
        <f t="shared" si="19"/>
        <v>-4</v>
      </c>
      <c r="AK18" s="69">
        <f t="shared" si="20"/>
        <v>-2</v>
      </c>
      <c r="AL18" s="67">
        <f t="shared" si="21"/>
        <v>-4</v>
      </c>
      <c r="AM18" s="67">
        <f t="shared" si="22"/>
        <v>-5</v>
      </c>
      <c r="AN18" s="68" t="e">
        <f t="shared" si="23"/>
        <v>#DIV/0!</v>
      </c>
      <c r="AO18" s="69" t="e">
        <f t="shared" si="24"/>
        <v>#DIV/0!</v>
      </c>
      <c r="AP18" s="67" t="e">
        <f t="shared" si="25"/>
        <v>#DIV/0!</v>
      </c>
      <c r="AQ18" s="93" t="e">
        <f t="shared" si="26"/>
        <v>#DIV/0!</v>
      </c>
      <c r="AR18" s="92">
        <f t="shared" si="27"/>
        <v>-7</v>
      </c>
      <c r="AS18" s="67">
        <f t="shared" si="28"/>
        <v>-5</v>
      </c>
      <c r="AT18" s="68">
        <f t="shared" si="29"/>
        <v>-4</v>
      </c>
      <c r="AU18" s="69">
        <f t="shared" si="30"/>
        <v>-8</v>
      </c>
      <c r="AV18" s="67">
        <f t="shared" si="31"/>
        <v>-4</v>
      </c>
      <c r="AW18" s="67">
        <f t="shared" si="32"/>
        <v>-5</v>
      </c>
      <c r="AX18" s="68" t="e">
        <f t="shared" si="33"/>
        <v>#DIV/0!</v>
      </c>
      <c r="AY18" s="69" t="e">
        <f t="shared" si="34"/>
        <v>#DIV/0!</v>
      </c>
      <c r="AZ18" s="67" t="e">
        <f t="shared" si="35"/>
        <v>#DIV/0!</v>
      </c>
      <c r="BA18" s="93" t="e">
        <f t="shared" si="36"/>
        <v>#DIV/0!</v>
      </c>
      <c r="BC18" s="16" t="s">
        <v>493</v>
      </c>
    </row>
    <row r="19" spans="1:55" s="16" customFormat="1" x14ac:dyDescent="0.3">
      <c r="A19" s="40">
        <v>4</v>
      </c>
      <c r="B19" s="40">
        <v>-5</v>
      </c>
      <c r="C19" s="40">
        <v>0</v>
      </c>
      <c r="D19" s="40">
        <v>3</v>
      </c>
      <c r="E19" s="40">
        <v>3</v>
      </c>
      <c r="F19" s="16">
        <f t="shared" si="1"/>
        <v>0</v>
      </c>
      <c r="G19" s="16" t="e">
        <f t="shared" si="2"/>
        <v>#DIV/0!</v>
      </c>
      <c r="H19" s="16">
        <f t="shared" si="3"/>
        <v>3</v>
      </c>
      <c r="I19" s="16">
        <f t="shared" si="4"/>
        <v>0</v>
      </c>
      <c r="J19" s="92">
        <f t="shared" si="5"/>
        <v>3</v>
      </c>
      <c r="K19" s="67">
        <v>0</v>
      </c>
      <c r="L19" s="68">
        <v>0</v>
      </c>
      <c r="M19" s="69">
        <f t="shared" si="6"/>
        <v>3</v>
      </c>
      <c r="N19" s="67">
        <f t="shared" si="7"/>
        <v>0</v>
      </c>
      <c r="O19" s="67">
        <v>0</v>
      </c>
      <c r="P19" s="68" t="e">
        <f t="shared" si="8"/>
        <v>#DIV/0!</v>
      </c>
      <c r="Q19" s="69">
        <v>0</v>
      </c>
      <c r="R19" s="67" t="e">
        <f t="shared" si="9"/>
        <v>#DIV/0!</v>
      </c>
      <c r="S19" s="93">
        <v>1</v>
      </c>
      <c r="T19" s="92">
        <f t="shared" si="10"/>
        <v>-3</v>
      </c>
      <c r="U19" s="67">
        <v>0</v>
      </c>
      <c r="V19" s="68">
        <v>0</v>
      </c>
      <c r="W19" s="69">
        <f t="shared" si="11"/>
        <v>-3</v>
      </c>
      <c r="X19" s="67">
        <f t="shared" si="12"/>
        <v>0</v>
      </c>
      <c r="Y19" s="67">
        <v>0</v>
      </c>
      <c r="Z19" s="68" t="e">
        <f t="shared" si="13"/>
        <v>#DIV/0!</v>
      </c>
      <c r="AA19" s="69">
        <v>0</v>
      </c>
      <c r="AB19" s="67" t="e">
        <f t="shared" si="14"/>
        <v>#DIV/0!</v>
      </c>
      <c r="AC19" s="93">
        <v>1</v>
      </c>
      <c r="AD19" s="102">
        <f t="shared" si="15"/>
        <v>4</v>
      </c>
      <c r="AE19" s="102">
        <f t="shared" si="16"/>
        <v>-5</v>
      </c>
      <c r="AF19" s="102">
        <f t="shared" si="17"/>
        <v>0</v>
      </c>
      <c r="AG19" s="102">
        <f t="shared" si="18"/>
        <v>0</v>
      </c>
      <c r="AH19" s="92">
        <f t="shared" si="37"/>
        <v>7</v>
      </c>
      <c r="AI19" s="67">
        <f t="shared" si="38"/>
        <v>-5</v>
      </c>
      <c r="AJ19" s="68">
        <f t="shared" si="19"/>
        <v>4</v>
      </c>
      <c r="AK19" s="69">
        <f t="shared" si="20"/>
        <v>-2</v>
      </c>
      <c r="AL19" s="67">
        <f t="shared" si="21"/>
        <v>4</v>
      </c>
      <c r="AM19" s="67">
        <f t="shared" si="22"/>
        <v>-5</v>
      </c>
      <c r="AN19" s="68" t="e">
        <f t="shared" si="23"/>
        <v>#DIV/0!</v>
      </c>
      <c r="AO19" s="69" t="e">
        <f t="shared" si="24"/>
        <v>#DIV/0!</v>
      </c>
      <c r="AP19" s="67" t="e">
        <f t="shared" si="25"/>
        <v>#DIV/0!</v>
      </c>
      <c r="AQ19" s="93" t="e">
        <f t="shared" si="26"/>
        <v>#DIV/0!</v>
      </c>
      <c r="AR19" s="92">
        <f t="shared" si="27"/>
        <v>1</v>
      </c>
      <c r="AS19" s="67">
        <f t="shared" si="28"/>
        <v>-5</v>
      </c>
      <c r="AT19" s="68">
        <f t="shared" si="29"/>
        <v>4</v>
      </c>
      <c r="AU19" s="69">
        <f t="shared" si="30"/>
        <v>-8</v>
      </c>
      <c r="AV19" s="67">
        <f t="shared" si="31"/>
        <v>4</v>
      </c>
      <c r="AW19" s="67">
        <f t="shared" si="32"/>
        <v>-5</v>
      </c>
      <c r="AX19" s="68" t="e">
        <f t="shared" si="33"/>
        <v>#DIV/0!</v>
      </c>
      <c r="AY19" s="69" t="e">
        <f t="shared" si="34"/>
        <v>#DIV/0!</v>
      </c>
      <c r="AZ19" s="67" t="e">
        <f t="shared" si="35"/>
        <v>#DIV/0!</v>
      </c>
      <c r="BA19" s="93" t="e">
        <f t="shared" si="36"/>
        <v>#DIV/0!</v>
      </c>
      <c r="BC19" s="16" t="s">
        <v>494</v>
      </c>
    </row>
    <row r="20" spans="1:55" s="16" customFormat="1" x14ac:dyDescent="0.3">
      <c r="A20" s="40">
        <v>0</v>
      </c>
      <c r="B20" s="40">
        <v>0</v>
      </c>
      <c r="C20" s="40">
        <f>PI()/4</f>
        <v>0.78539816339744828</v>
      </c>
      <c r="D20" s="40">
        <v>3</v>
      </c>
      <c r="E20" s="40">
        <v>3</v>
      </c>
      <c r="F20" s="16">
        <f t="shared" si="1"/>
        <v>0</v>
      </c>
      <c r="G20" s="16" t="e">
        <f t="shared" si="2"/>
        <v>#DIV/0!</v>
      </c>
      <c r="H20" s="16">
        <f t="shared" si="3"/>
        <v>3</v>
      </c>
      <c r="I20" s="16">
        <f t="shared" si="4"/>
        <v>0</v>
      </c>
      <c r="J20" s="92">
        <f t="shared" si="5"/>
        <v>3</v>
      </c>
      <c r="K20" s="67">
        <v>0</v>
      </c>
      <c r="L20" s="68">
        <v>0</v>
      </c>
      <c r="M20" s="69">
        <f t="shared" si="6"/>
        <v>3</v>
      </c>
      <c r="N20" s="67">
        <f t="shared" si="7"/>
        <v>0</v>
      </c>
      <c r="O20" s="67">
        <v>0</v>
      </c>
      <c r="P20" s="68" t="e">
        <f t="shared" si="8"/>
        <v>#DIV/0!</v>
      </c>
      <c r="Q20" s="69">
        <v>0</v>
      </c>
      <c r="R20" s="67" t="e">
        <f t="shared" si="9"/>
        <v>#DIV/0!</v>
      </c>
      <c r="S20" s="93">
        <v>1</v>
      </c>
      <c r="T20" s="92">
        <f t="shared" si="10"/>
        <v>-3</v>
      </c>
      <c r="U20" s="67">
        <v>0</v>
      </c>
      <c r="V20" s="68">
        <v>0</v>
      </c>
      <c r="W20" s="69">
        <f t="shared" si="11"/>
        <v>-3</v>
      </c>
      <c r="X20" s="67">
        <f t="shared" si="12"/>
        <v>0</v>
      </c>
      <c r="Y20" s="67">
        <v>0</v>
      </c>
      <c r="Z20" s="68" t="e">
        <f t="shared" si="13"/>
        <v>#DIV/0!</v>
      </c>
      <c r="AA20" s="69">
        <v>0</v>
      </c>
      <c r="AB20" s="67" t="e">
        <f t="shared" si="14"/>
        <v>#DIV/0!</v>
      </c>
      <c r="AC20" s="93">
        <v>1</v>
      </c>
      <c r="AD20" s="102">
        <f t="shared" si="15"/>
        <v>0</v>
      </c>
      <c r="AE20" s="102">
        <f t="shared" si="16"/>
        <v>0</v>
      </c>
      <c r="AF20" s="102">
        <f t="shared" si="17"/>
        <v>0.78539816339744828</v>
      </c>
      <c r="AG20" s="102">
        <f t="shared" si="18"/>
        <v>45</v>
      </c>
      <c r="AH20" s="92">
        <f t="shared" si="37"/>
        <v>2.1213199999999999</v>
      </c>
      <c r="AI20" s="67">
        <f t="shared" si="38"/>
        <v>2.1213199999999999</v>
      </c>
      <c r="AJ20" s="68">
        <f t="shared" si="19"/>
        <v>-2.1213199999999999</v>
      </c>
      <c r="AK20" s="69">
        <f t="shared" si="20"/>
        <v>2.1213199999999999</v>
      </c>
      <c r="AL20" s="67">
        <f t="shared" si="21"/>
        <v>0</v>
      </c>
      <c r="AM20" s="67">
        <f t="shared" si="22"/>
        <v>0</v>
      </c>
      <c r="AN20" s="68" t="e">
        <f t="shared" si="23"/>
        <v>#DIV/0!</v>
      </c>
      <c r="AO20" s="69" t="e">
        <f t="shared" si="24"/>
        <v>#DIV/0!</v>
      </c>
      <c r="AP20" s="67" t="e">
        <f t="shared" si="25"/>
        <v>#DIV/0!</v>
      </c>
      <c r="AQ20" s="93" t="e">
        <f t="shared" si="26"/>
        <v>#DIV/0!</v>
      </c>
      <c r="AR20" s="92">
        <f t="shared" si="27"/>
        <v>-2.1213199999999999</v>
      </c>
      <c r="AS20" s="67">
        <f t="shared" si="28"/>
        <v>-2.1213199999999999</v>
      </c>
      <c r="AT20" s="68">
        <f t="shared" si="29"/>
        <v>2.1213199999999999</v>
      </c>
      <c r="AU20" s="69">
        <f t="shared" si="30"/>
        <v>-2.1213199999999999</v>
      </c>
      <c r="AV20" s="67">
        <f t="shared" si="31"/>
        <v>0</v>
      </c>
      <c r="AW20" s="67">
        <f t="shared" si="32"/>
        <v>0</v>
      </c>
      <c r="AX20" s="68" t="e">
        <f t="shared" si="33"/>
        <v>#DIV/0!</v>
      </c>
      <c r="AY20" s="69" t="e">
        <f t="shared" si="34"/>
        <v>#DIV/0!</v>
      </c>
      <c r="AZ20" s="67" t="e">
        <f t="shared" si="35"/>
        <v>#DIV/0!</v>
      </c>
      <c r="BA20" s="93" t="e">
        <f t="shared" si="36"/>
        <v>#DIV/0!</v>
      </c>
      <c r="BC20" s="21" t="s">
        <v>495</v>
      </c>
    </row>
    <row r="21" spans="1:55" s="16" customFormat="1" x14ac:dyDescent="0.3">
      <c r="A21" s="40">
        <v>0</v>
      </c>
      <c r="B21" s="40">
        <v>0</v>
      </c>
      <c r="C21" s="40">
        <f>-PI()/4</f>
        <v>-0.78539816339744828</v>
      </c>
      <c r="D21" s="40">
        <v>3</v>
      </c>
      <c r="E21" s="40">
        <v>3</v>
      </c>
      <c r="F21" s="16">
        <f t="shared" si="1"/>
        <v>0</v>
      </c>
      <c r="G21" s="16" t="e">
        <f t="shared" si="2"/>
        <v>#DIV/0!</v>
      </c>
      <c r="H21" s="16">
        <f t="shared" si="3"/>
        <v>3</v>
      </c>
      <c r="I21" s="16">
        <f t="shared" si="4"/>
        <v>0</v>
      </c>
      <c r="J21" s="92">
        <f t="shared" si="5"/>
        <v>3</v>
      </c>
      <c r="K21" s="67">
        <v>0</v>
      </c>
      <c r="L21" s="68">
        <v>0</v>
      </c>
      <c r="M21" s="69">
        <f t="shared" si="6"/>
        <v>3</v>
      </c>
      <c r="N21" s="67">
        <f t="shared" si="7"/>
        <v>0</v>
      </c>
      <c r="O21" s="67">
        <v>0</v>
      </c>
      <c r="P21" s="68" t="e">
        <f t="shared" si="8"/>
        <v>#DIV/0!</v>
      </c>
      <c r="Q21" s="69">
        <v>0</v>
      </c>
      <c r="R21" s="67" t="e">
        <f t="shared" si="9"/>
        <v>#DIV/0!</v>
      </c>
      <c r="S21" s="93">
        <v>1</v>
      </c>
      <c r="T21" s="92">
        <f t="shared" si="10"/>
        <v>-3</v>
      </c>
      <c r="U21" s="67">
        <v>0</v>
      </c>
      <c r="V21" s="68">
        <v>0</v>
      </c>
      <c r="W21" s="69">
        <f t="shared" si="11"/>
        <v>-3</v>
      </c>
      <c r="X21" s="67">
        <f t="shared" si="12"/>
        <v>0</v>
      </c>
      <c r="Y21" s="67">
        <v>0</v>
      </c>
      <c r="Z21" s="68" t="e">
        <f t="shared" si="13"/>
        <v>#DIV/0!</v>
      </c>
      <c r="AA21" s="69">
        <v>0</v>
      </c>
      <c r="AB21" s="67" t="e">
        <f t="shared" si="14"/>
        <v>#DIV/0!</v>
      </c>
      <c r="AC21" s="93">
        <v>1</v>
      </c>
      <c r="AD21" s="102">
        <f t="shared" si="15"/>
        <v>0</v>
      </c>
      <c r="AE21" s="102">
        <f t="shared" si="16"/>
        <v>0</v>
      </c>
      <c r="AF21" s="102">
        <f t="shared" si="17"/>
        <v>-0.78539816339744828</v>
      </c>
      <c r="AG21" s="102">
        <f t="shared" si="18"/>
        <v>-45</v>
      </c>
      <c r="AH21" s="92">
        <f>ROUND(J21*COS($AF21)-K21*SIN($AF21)+$AD21,6)</f>
        <v>2.1213199999999999</v>
      </c>
      <c r="AI21" s="67">
        <f>ROUND(J21*SIN($AF21)+K21*COS($AF21)+$AE21,6)</f>
        <v>-2.1213199999999999</v>
      </c>
      <c r="AJ21" s="68">
        <f>ROUND(L21*COS($AF21)-M21*SIN($AF21)+$AD21,6)</f>
        <v>2.1213199999999999</v>
      </c>
      <c r="AK21" s="69">
        <f>ROUND(L21*SIN($AF21)+M21*COS($AF21)+$AE21,6)</f>
        <v>2.1213199999999999</v>
      </c>
      <c r="AL21" s="67">
        <f>ROUND(N21*COS($AF21)-O21*SIN($AF21)+$AD21,6)</f>
        <v>0</v>
      </c>
      <c r="AM21" s="67">
        <f>ROUND(N21*SIN($AF21)+O21*COS($AF21)+$AE21,6)</f>
        <v>0</v>
      </c>
      <c r="AN21" s="68" t="e">
        <f>ROUND(P21*COS($AF21)-Q21*SIN($AF21)+$AD21,6)</f>
        <v>#DIV/0!</v>
      </c>
      <c r="AO21" s="69" t="e">
        <f>ROUND(P21*SIN($AF21)+Q21*COS($AF21)+$AE21,6)</f>
        <v>#DIV/0!</v>
      </c>
      <c r="AP21" s="67" t="e">
        <f>ROUND(R21*COS($AF21)-S21*SIN($AF21)+$AD21,6)</f>
        <v>#DIV/0!</v>
      </c>
      <c r="AQ21" s="93" t="e">
        <f>ROUND(R21*SIN($AF21)+S21*COS($AF21)+$AE21,6)</f>
        <v>#DIV/0!</v>
      </c>
      <c r="AR21" s="92">
        <f>ROUND(T21*COS($AF21)-U21*SIN($AF21)+$AD21,6)</f>
        <v>-2.1213199999999999</v>
      </c>
      <c r="AS21" s="67">
        <f>ROUND(T21*SIN($AF21)+U21*COS($AF21)+$AE21,6)</f>
        <v>2.1213199999999999</v>
      </c>
      <c r="AT21" s="68">
        <f>ROUND(V21*COS($AF21)-W21*SIN($AF21)+$AD21,6)</f>
        <v>-2.1213199999999999</v>
      </c>
      <c r="AU21" s="69">
        <f>ROUND(V21*SIN($AF21)+W21*COS($AF21)+$AE21,6)</f>
        <v>-2.1213199999999999</v>
      </c>
      <c r="AV21" s="67">
        <f>ROUND(X21*COS($AF21)-Y21*SIN($AF21)+$AD21,6)</f>
        <v>0</v>
      </c>
      <c r="AW21" s="67">
        <f>ROUND(X21*SIN($AF21)+Y21*COS($AF21)+$AE21,6)</f>
        <v>0</v>
      </c>
      <c r="AX21" s="68" t="e">
        <f>ROUND(Z21*COS($AF21)-AA21*SIN($AF21)+$AD21,6)</f>
        <v>#DIV/0!</v>
      </c>
      <c r="AY21" s="69" t="e">
        <f>ROUND(Z21*SIN($AF21)+AA21*COS($AF21)+$AE21,6)</f>
        <v>#DIV/0!</v>
      </c>
      <c r="AZ21" s="67" t="e">
        <f>ROUND(AB21*COS($AF21)-AC21*SIN($AF21)+$AD21,6)</f>
        <v>#DIV/0!</v>
      </c>
      <c r="BA21" s="93" t="e">
        <f>ROUND(AB21*SIN($AF21)+AC21*COS($AF21)+$AE21,6)</f>
        <v>#DIV/0!</v>
      </c>
      <c r="BC21" s="21" t="s">
        <v>498</v>
      </c>
    </row>
    <row r="22" spans="1:55" s="16" customFormat="1" x14ac:dyDescent="0.3">
      <c r="A22" s="40">
        <v>0</v>
      </c>
      <c r="B22" s="40">
        <v>0</v>
      </c>
      <c r="C22" s="40">
        <f>PI()/2</f>
        <v>1.5707963267948966</v>
      </c>
      <c r="D22" s="40">
        <v>3</v>
      </c>
      <c r="E22" s="40">
        <v>3</v>
      </c>
      <c r="F22" s="16">
        <f t="shared" si="1"/>
        <v>0</v>
      </c>
      <c r="G22" s="16" t="e">
        <f t="shared" si="2"/>
        <v>#DIV/0!</v>
      </c>
      <c r="H22" s="16">
        <f t="shared" si="3"/>
        <v>3</v>
      </c>
      <c r="I22" s="16">
        <f t="shared" si="4"/>
        <v>0</v>
      </c>
      <c r="J22" s="92">
        <f t="shared" si="5"/>
        <v>3</v>
      </c>
      <c r="K22" s="67">
        <v>0</v>
      </c>
      <c r="L22" s="68">
        <v>0</v>
      </c>
      <c r="M22" s="69">
        <f t="shared" si="6"/>
        <v>3</v>
      </c>
      <c r="N22" s="67">
        <f t="shared" si="7"/>
        <v>0</v>
      </c>
      <c r="O22" s="67">
        <v>0</v>
      </c>
      <c r="P22" s="68" t="e">
        <f t="shared" si="8"/>
        <v>#DIV/0!</v>
      </c>
      <c r="Q22" s="69">
        <v>0</v>
      </c>
      <c r="R22" s="67" t="e">
        <f t="shared" si="9"/>
        <v>#DIV/0!</v>
      </c>
      <c r="S22" s="93">
        <v>1</v>
      </c>
      <c r="T22" s="92">
        <f t="shared" si="10"/>
        <v>-3</v>
      </c>
      <c r="U22" s="67">
        <v>0</v>
      </c>
      <c r="V22" s="68">
        <v>0</v>
      </c>
      <c r="W22" s="69">
        <f t="shared" si="11"/>
        <v>-3</v>
      </c>
      <c r="X22" s="67">
        <f t="shared" si="12"/>
        <v>0</v>
      </c>
      <c r="Y22" s="67">
        <v>0</v>
      </c>
      <c r="Z22" s="68" t="e">
        <f t="shared" si="13"/>
        <v>#DIV/0!</v>
      </c>
      <c r="AA22" s="69">
        <v>0</v>
      </c>
      <c r="AB22" s="67" t="e">
        <f t="shared" si="14"/>
        <v>#DIV/0!</v>
      </c>
      <c r="AC22" s="93">
        <v>1</v>
      </c>
      <c r="AD22" s="102">
        <f t="shared" si="15"/>
        <v>0</v>
      </c>
      <c r="AE22" s="102">
        <f t="shared" si="16"/>
        <v>0</v>
      </c>
      <c r="AF22" s="102">
        <f t="shared" si="17"/>
        <v>1.5707963267948966</v>
      </c>
      <c r="AG22" s="102">
        <f t="shared" si="18"/>
        <v>90</v>
      </c>
      <c r="AH22" s="92">
        <f t="shared" ref="AH22" si="39">ROUND(J22*COS($AF22)-K22*SIN($AF22)+$AD22,6)</f>
        <v>0</v>
      </c>
      <c r="AI22" s="67">
        <f t="shared" ref="AI22" si="40">ROUND(J22*SIN($AF22)+K22*COS($AF22)+$AE22,6)</f>
        <v>3</v>
      </c>
      <c r="AJ22" s="68">
        <f t="shared" ref="AJ22" si="41">ROUND(L22*COS($AF22)-M22*SIN($AF22)+$AD22,6)</f>
        <v>-3</v>
      </c>
      <c r="AK22" s="69">
        <f t="shared" ref="AK22" si="42">ROUND(L22*SIN($AF22)+M22*COS($AF22)+$AE22,6)</f>
        <v>0</v>
      </c>
      <c r="AL22" s="67">
        <f t="shared" ref="AL22" si="43">ROUND(N22*COS($AF22)-O22*SIN($AF22)+$AD22,6)</f>
        <v>0</v>
      </c>
      <c r="AM22" s="67">
        <f t="shared" ref="AM22" si="44">ROUND(N22*SIN($AF22)+O22*COS($AF22)+$AE22,6)</f>
        <v>0</v>
      </c>
      <c r="AN22" s="68" t="e">
        <f t="shared" ref="AN22" si="45">ROUND(P22*COS($AF22)-Q22*SIN($AF22)+$AD22,6)</f>
        <v>#DIV/0!</v>
      </c>
      <c r="AO22" s="69" t="e">
        <f t="shared" ref="AO22" si="46">ROUND(P22*SIN($AF22)+Q22*COS($AF22)+$AE22,6)</f>
        <v>#DIV/0!</v>
      </c>
      <c r="AP22" s="67" t="e">
        <f t="shared" ref="AP22" si="47">ROUND(R22*COS($AF22)-S22*SIN($AF22)+$AD22,6)</f>
        <v>#DIV/0!</v>
      </c>
      <c r="AQ22" s="93" t="e">
        <f t="shared" ref="AQ22" si="48">ROUND(R22*SIN($AF22)+S22*COS($AF22)+$AE22,6)</f>
        <v>#DIV/0!</v>
      </c>
      <c r="AR22" s="92">
        <f t="shared" ref="AR22" si="49">ROUND(T22*COS($AF22)-U22*SIN($AF22)+$AD22,6)</f>
        <v>0</v>
      </c>
      <c r="AS22" s="67">
        <f t="shared" ref="AS22" si="50">ROUND(T22*SIN($AF22)+U22*COS($AF22)+$AE22,6)</f>
        <v>-3</v>
      </c>
      <c r="AT22" s="68">
        <f t="shared" ref="AT22" si="51">ROUND(V22*COS($AF22)-W22*SIN($AF22)+$AD22,6)</f>
        <v>3</v>
      </c>
      <c r="AU22" s="69">
        <f t="shared" ref="AU22" si="52">ROUND(V22*SIN($AF22)+W22*COS($AF22)+$AE22,6)</f>
        <v>0</v>
      </c>
      <c r="AV22" s="67">
        <f t="shared" ref="AV22" si="53">ROUND(X22*COS($AF22)-Y22*SIN($AF22)+$AD22,6)</f>
        <v>0</v>
      </c>
      <c r="AW22" s="67">
        <f t="shared" ref="AW22" si="54">ROUND(X22*SIN($AF22)+Y22*COS($AF22)+$AE22,6)</f>
        <v>0</v>
      </c>
      <c r="AX22" s="68" t="e">
        <f t="shared" ref="AX22" si="55">ROUND(Z22*COS($AF22)-AA22*SIN($AF22)+$AD22,6)</f>
        <v>#DIV/0!</v>
      </c>
      <c r="AY22" s="69" t="e">
        <f t="shared" ref="AY22" si="56">ROUND(Z22*SIN($AF22)+AA22*COS($AF22)+$AE22,6)</f>
        <v>#DIV/0!</v>
      </c>
      <c r="AZ22" s="67" t="e">
        <f t="shared" ref="AZ22" si="57">ROUND(AB22*COS($AF22)-AC22*SIN($AF22)+$AD22,6)</f>
        <v>#DIV/0!</v>
      </c>
      <c r="BA22" s="93" t="e">
        <f t="shared" ref="BA22" si="58">ROUND(AB22*SIN($AF22)+AC22*COS($AF22)+$AE22,6)</f>
        <v>#DIV/0!</v>
      </c>
      <c r="BC22" s="21" t="s">
        <v>496</v>
      </c>
    </row>
    <row r="23" spans="1:55" s="16" customFormat="1" x14ac:dyDescent="0.3">
      <c r="A23" s="40">
        <v>0</v>
      </c>
      <c r="B23" s="40">
        <v>0</v>
      </c>
      <c r="C23" s="40">
        <f>-PI()/2</f>
        <v>-1.5707963267948966</v>
      </c>
      <c r="D23" s="40">
        <v>3</v>
      </c>
      <c r="E23" s="40">
        <v>3</v>
      </c>
      <c r="F23" s="16">
        <f t="shared" si="1"/>
        <v>0</v>
      </c>
      <c r="G23" s="16" t="e">
        <f t="shared" si="2"/>
        <v>#DIV/0!</v>
      </c>
      <c r="H23" s="16">
        <f t="shared" si="3"/>
        <v>3</v>
      </c>
      <c r="I23" s="16">
        <f t="shared" si="4"/>
        <v>0</v>
      </c>
      <c r="J23" s="92">
        <f t="shared" si="5"/>
        <v>3</v>
      </c>
      <c r="K23" s="67">
        <v>0</v>
      </c>
      <c r="L23" s="68">
        <v>0</v>
      </c>
      <c r="M23" s="69">
        <f t="shared" si="6"/>
        <v>3</v>
      </c>
      <c r="N23" s="67">
        <f t="shared" si="7"/>
        <v>0</v>
      </c>
      <c r="O23" s="67">
        <v>0</v>
      </c>
      <c r="P23" s="68" t="e">
        <f t="shared" si="8"/>
        <v>#DIV/0!</v>
      </c>
      <c r="Q23" s="69">
        <v>0</v>
      </c>
      <c r="R23" s="67" t="e">
        <f t="shared" si="9"/>
        <v>#DIV/0!</v>
      </c>
      <c r="S23" s="93">
        <v>1</v>
      </c>
      <c r="T23" s="92">
        <f t="shared" si="10"/>
        <v>-3</v>
      </c>
      <c r="U23" s="67">
        <v>0</v>
      </c>
      <c r="V23" s="68">
        <v>0</v>
      </c>
      <c r="W23" s="69">
        <f t="shared" si="11"/>
        <v>-3</v>
      </c>
      <c r="X23" s="67">
        <f t="shared" si="12"/>
        <v>0</v>
      </c>
      <c r="Y23" s="67">
        <v>0</v>
      </c>
      <c r="Z23" s="68" t="e">
        <f t="shared" si="13"/>
        <v>#DIV/0!</v>
      </c>
      <c r="AA23" s="69">
        <v>0</v>
      </c>
      <c r="AB23" s="67" t="e">
        <f t="shared" si="14"/>
        <v>#DIV/0!</v>
      </c>
      <c r="AC23" s="93">
        <v>1</v>
      </c>
      <c r="AD23" s="102">
        <f t="shared" si="15"/>
        <v>0</v>
      </c>
      <c r="AE23" s="102">
        <f t="shared" si="16"/>
        <v>0</v>
      </c>
      <c r="AF23" s="102">
        <f t="shared" si="17"/>
        <v>-1.5707963267948966</v>
      </c>
      <c r="AG23" s="102">
        <f t="shared" si="18"/>
        <v>-90</v>
      </c>
      <c r="AH23" s="92">
        <f>ROUND(J23*COS($AF23)-K23*SIN($AF23)+$AD23,6)</f>
        <v>0</v>
      </c>
      <c r="AI23" s="67">
        <f>ROUND(J23*SIN($AF23)+K23*COS($AF23)+$AE23,6)</f>
        <v>-3</v>
      </c>
      <c r="AJ23" s="68">
        <f>ROUND(L23*COS($AF23)-M23*SIN($AF23)+$AD23,6)</f>
        <v>3</v>
      </c>
      <c r="AK23" s="69">
        <f>ROUND(L23*SIN($AF23)+M23*COS($AF23)+$AE23,6)</f>
        <v>0</v>
      </c>
      <c r="AL23" s="67">
        <f>ROUND(N23*COS($AF23)-O23*SIN($AF23)+$AD23,6)</f>
        <v>0</v>
      </c>
      <c r="AM23" s="67">
        <f>ROUND(N23*SIN($AF23)+O23*COS($AF23)+$AE23,6)</f>
        <v>0</v>
      </c>
      <c r="AN23" s="68" t="e">
        <f>ROUND(P23*COS($AF23)-Q23*SIN($AF23)+$AD23,6)</f>
        <v>#DIV/0!</v>
      </c>
      <c r="AO23" s="69" t="e">
        <f>ROUND(P23*SIN($AF23)+Q23*COS($AF23)+$AE23,6)</f>
        <v>#DIV/0!</v>
      </c>
      <c r="AP23" s="67" t="e">
        <f>ROUND(R23*COS($AF23)-S23*SIN($AF23)+$AD23,6)</f>
        <v>#DIV/0!</v>
      </c>
      <c r="AQ23" s="93" t="e">
        <f>ROUND(R23*SIN($AF23)+S23*COS($AF23)+$AE23,6)</f>
        <v>#DIV/0!</v>
      </c>
      <c r="AR23" s="92">
        <f>ROUND(T23*COS($AF23)-U23*SIN($AF23)+$AD23,6)</f>
        <v>0</v>
      </c>
      <c r="AS23" s="67">
        <f>ROUND(T23*SIN($AF23)+U23*COS($AF23)+$AE23,6)</f>
        <v>3</v>
      </c>
      <c r="AT23" s="68">
        <f>ROUND(V23*COS($AF23)-W23*SIN($AF23)+$AD23,6)</f>
        <v>-3</v>
      </c>
      <c r="AU23" s="69">
        <f>ROUND(V23*SIN($AF23)+W23*COS($AF23)+$AE23,6)</f>
        <v>0</v>
      </c>
      <c r="AV23" s="67">
        <f>ROUND(X23*COS($AF23)-Y23*SIN($AF23)+$AD23,6)</f>
        <v>0</v>
      </c>
      <c r="AW23" s="67">
        <f>ROUND(X23*SIN($AF23)+Y23*COS($AF23)+$AE23,6)</f>
        <v>0</v>
      </c>
      <c r="AX23" s="68" t="e">
        <f>ROUND(Z23*COS($AF23)-AA23*SIN($AF23)+$AD23,6)</f>
        <v>#DIV/0!</v>
      </c>
      <c r="AY23" s="69" t="e">
        <f>ROUND(Z23*SIN($AF23)+AA23*COS($AF23)+$AE23,6)</f>
        <v>#DIV/0!</v>
      </c>
      <c r="AZ23" s="67" t="e">
        <f>ROUND(AB23*COS($AF23)-AC23*SIN($AF23)+$AD23,6)</f>
        <v>#DIV/0!</v>
      </c>
      <c r="BA23" s="93" t="e">
        <f>ROUND(AB23*SIN($AF23)+AC23*COS($AF23)+$AE23,6)</f>
        <v>#DIV/0!</v>
      </c>
      <c r="BC23" s="21" t="s">
        <v>499</v>
      </c>
    </row>
    <row r="24" spans="1:55" s="16" customFormat="1" x14ac:dyDescent="0.3">
      <c r="A24" s="40">
        <v>0</v>
      </c>
      <c r="B24" s="40">
        <v>0</v>
      </c>
      <c r="C24" s="40">
        <f>PI()</f>
        <v>3.1415926535897931</v>
      </c>
      <c r="D24" s="40">
        <v>3</v>
      </c>
      <c r="E24" s="40">
        <v>3</v>
      </c>
      <c r="F24" s="16">
        <f t="shared" si="1"/>
        <v>0</v>
      </c>
      <c r="G24" s="16" t="e">
        <f t="shared" si="2"/>
        <v>#DIV/0!</v>
      </c>
      <c r="H24" s="16">
        <f t="shared" si="3"/>
        <v>3</v>
      </c>
      <c r="I24" s="16">
        <f t="shared" si="4"/>
        <v>0</v>
      </c>
      <c r="J24" s="92">
        <f t="shared" si="5"/>
        <v>3</v>
      </c>
      <c r="K24" s="67">
        <v>0</v>
      </c>
      <c r="L24" s="68">
        <v>0</v>
      </c>
      <c r="M24" s="69">
        <f t="shared" si="6"/>
        <v>3</v>
      </c>
      <c r="N24" s="67">
        <f t="shared" si="7"/>
        <v>0</v>
      </c>
      <c r="O24" s="67">
        <v>0</v>
      </c>
      <c r="P24" s="68" t="e">
        <f t="shared" si="8"/>
        <v>#DIV/0!</v>
      </c>
      <c r="Q24" s="69">
        <v>0</v>
      </c>
      <c r="R24" s="67" t="e">
        <f t="shared" si="9"/>
        <v>#DIV/0!</v>
      </c>
      <c r="S24" s="93">
        <v>1</v>
      </c>
      <c r="T24" s="92">
        <f t="shared" si="10"/>
        <v>-3</v>
      </c>
      <c r="U24" s="67">
        <v>0</v>
      </c>
      <c r="V24" s="68">
        <v>0</v>
      </c>
      <c r="W24" s="69">
        <f t="shared" si="11"/>
        <v>-3</v>
      </c>
      <c r="X24" s="67">
        <f t="shared" si="12"/>
        <v>0</v>
      </c>
      <c r="Y24" s="67">
        <v>0</v>
      </c>
      <c r="Z24" s="68" t="e">
        <f t="shared" si="13"/>
        <v>#DIV/0!</v>
      </c>
      <c r="AA24" s="69">
        <v>0</v>
      </c>
      <c r="AB24" s="67" t="e">
        <f t="shared" si="14"/>
        <v>#DIV/0!</v>
      </c>
      <c r="AC24" s="93">
        <v>1</v>
      </c>
      <c r="AD24" s="102">
        <f t="shared" si="15"/>
        <v>0</v>
      </c>
      <c r="AE24" s="102">
        <f t="shared" si="16"/>
        <v>0</v>
      </c>
      <c r="AF24" s="102">
        <f t="shared" si="17"/>
        <v>3.1415926535897931</v>
      </c>
      <c r="AG24" s="102">
        <f t="shared" si="18"/>
        <v>180</v>
      </c>
      <c r="AH24" s="92">
        <f t="shared" ref="AH24:AH26" si="59">ROUND(J24*COS($AF24)-K24*SIN($AF24)+$AD24,6)</f>
        <v>-3</v>
      </c>
      <c r="AI24" s="67">
        <f t="shared" ref="AI24:AI26" si="60">ROUND(J24*SIN($AF24)+K24*COS($AF24)+$AE24,6)</f>
        <v>0</v>
      </c>
      <c r="AJ24" s="68">
        <f t="shared" ref="AJ24:AJ26" si="61">ROUND(L24*COS($AF24)-M24*SIN($AF24)+$AD24,6)</f>
        <v>0</v>
      </c>
      <c r="AK24" s="69">
        <f t="shared" ref="AK24:AK26" si="62">ROUND(L24*SIN($AF24)+M24*COS($AF24)+$AE24,6)</f>
        <v>-3</v>
      </c>
      <c r="AL24" s="67">
        <f t="shared" ref="AL24:AL26" si="63">ROUND(N24*COS($AF24)-O24*SIN($AF24)+$AD24,6)</f>
        <v>0</v>
      </c>
      <c r="AM24" s="67">
        <f t="shared" ref="AM24:AM26" si="64">ROUND(N24*SIN($AF24)+O24*COS($AF24)+$AE24,6)</f>
        <v>0</v>
      </c>
      <c r="AN24" s="68" t="e">
        <f t="shared" ref="AN24:AN26" si="65">ROUND(P24*COS($AF24)-Q24*SIN($AF24)+$AD24,6)</f>
        <v>#DIV/0!</v>
      </c>
      <c r="AO24" s="69" t="e">
        <f t="shared" ref="AO24:AO26" si="66">ROUND(P24*SIN($AF24)+Q24*COS($AF24)+$AE24,6)</f>
        <v>#DIV/0!</v>
      </c>
      <c r="AP24" s="67" t="e">
        <f t="shared" ref="AP24:AP26" si="67">ROUND(R24*COS($AF24)-S24*SIN($AF24)+$AD24,6)</f>
        <v>#DIV/0!</v>
      </c>
      <c r="AQ24" s="93" t="e">
        <f t="shared" ref="AQ24:AQ26" si="68">ROUND(R24*SIN($AF24)+S24*COS($AF24)+$AE24,6)</f>
        <v>#DIV/0!</v>
      </c>
      <c r="AR24" s="92">
        <f t="shared" ref="AR24:AR26" si="69">ROUND(T24*COS($AF24)-U24*SIN($AF24)+$AD24,6)</f>
        <v>3</v>
      </c>
      <c r="AS24" s="67">
        <f t="shared" ref="AS24:AS26" si="70">ROUND(T24*SIN($AF24)+U24*COS($AF24)+$AE24,6)</f>
        <v>0</v>
      </c>
      <c r="AT24" s="68">
        <f t="shared" ref="AT24:AT26" si="71">ROUND(V24*COS($AF24)-W24*SIN($AF24)+$AD24,6)</f>
        <v>0</v>
      </c>
      <c r="AU24" s="69">
        <f t="shared" ref="AU24:AU26" si="72">ROUND(V24*SIN($AF24)+W24*COS($AF24)+$AE24,6)</f>
        <v>3</v>
      </c>
      <c r="AV24" s="67">
        <f t="shared" ref="AV24:AV26" si="73">ROUND(X24*COS($AF24)-Y24*SIN($AF24)+$AD24,6)</f>
        <v>0</v>
      </c>
      <c r="AW24" s="67">
        <f t="shared" ref="AW24:AW26" si="74">ROUND(X24*SIN($AF24)+Y24*COS($AF24)+$AE24,6)</f>
        <v>0</v>
      </c>
      <c r="AX24" s="68" t="e">
        <f t="shared" ref="AX24:AX26" si="75">ROUND(Z24*COS($AF24)-AA24*SIN($AF24)+$AD24,6)</f>
        <v>#DIV/0!</v>
      </c>
      <c r="AY24" s="69" t="e">
        <f t="shared" ref="AY24:AY26" si="76">ROUND(Z24*SIN($AF24)+AA24*COS($AF24)+$AE24,6)</f>
        <v>#DIV/0!</v>
      </c>
      <c r="AZ24" s="67" t="e">
        <f t="shared" ref="AZ24:AZ26" si="77">ROUND(AB24*COS($AF24)-AC24*SIN($AF24)+$AD24,6)</f>
        <v>#DIV/0!</v>
      </c>
      <c r="BA24" s="93" t="e">
        <f t="shared" ref="BA24:BA26" si="78">ROUND(AB24*SIN($AF24)+AC24*COS($AF24)+$AE24,6)</f>
        <v>#DIV/0!</v>
      </c>
      <c r="BC24" s="21" t="s">
        <v>497</v>
      </c>
    </row>
    <row r="25" spans="1:55" s="16" customFormat="1" x14ac:dyDescent="0.3">
      <c r="A25" s="40">
        <v>0</v>
      </c>
      <c r="B25" s="40">
        <v>0</v>
      </c>
      <c r="C25" s="40">
        <f>-PI()</f>
        <v>-3.1415926535897931</v>
      </c>
      <c r="D25" s="40">
        <v>3</v>
      </c>
      <c r="E25" s="40">
        <v>3</v>
      </c>
      <c r="F25" s="16">
        <f t="shared" si="1"/>
        <v>0</v>
      </c>
      <c r="G25" s="16" t="e">
        <f t="shared" si="2"/>
        <v>#DIV/0!</v>
      </c>
      <c r="H25" s="16">
        <f t="shared" si="3"/>
        <v>3</v>
      </c>
      <c r="I25" s="16">
        <f t="shared" si="4"/>
        <v>0</v>
      </c>
      <c r="J25" s="92">
        <f t="shared" si="5"/>
        <v>3</v>
      </c>
      <c r="K25" s="67">
        <v>0</v>
      </c>
      <c r="L25" s="68">
        <v>0</v>
      </c>
      <c r="M25" s="69">
        <f t="shared" si="6"/>
        <v>3</v>
      </c>
      <c r="N25" s="67">
        <f t="shared" si="7"/>
        <v>0</v>
      </c>
      <c r="O25" s="67">
        <v>0</v>
      </c>
      <c r="P25" s="68" t="e">
        <f t="shared" si="8"/>
        <v>#DIV/0!</v>
      </c>
      <c r="Q25" s="69">
        <v>0</v>
      </c>
      <c r="R25" s="67" t="e">
        <f t="shared" si="9"/>
        <v>#DIV/0!</v>
      </c>
      <c r="S25" s="93">
        <v>1</v>
      </c>
      <c r="T25" s="92">
        <f t="shared" si="10"/>
        <v>-3</v>
      </c>
      <c r="U25" s="67">
        <v>0</v>
      </c>
      <c r="V25" s="68">
        <v>0</v>
      </c>
      <c r="W25" s="69">
        <f t="shared" si="11"/>
        <v>-3</v>
      </c>
      <c r="X25" s="67">
        <f t="shared" si="12"/>
        <v>0</v>
      </c>
      <c r="Y25" s="67">
        <v>0</v>
      </c>
      <c r="Z25" s="68" t="e">
        <f t="shared" si="13"/>
        <v>#DIV/0!</v>
      </c>
      <c r="AA25" s="69">
        <v>0</v>
      </c>
      <c r="AB25" s="67" t="e">
        <f t="shared" si="14"/>
        <v>#DIV/0!</v>
      </c>
      <c r="AC25" s="93">
        <v>1</v>
      </c>
      <c r="AD25" s="102">
        <f t="shared" si="15"/>
        <v>0</v>
      </c>
      <c r="AE25" s="102">
        <f t="shared" si="16"/>
        <v>0</v>
      </c>
      <c r="AF25" s="102">
        <f t="shared" si="17"/>
        <v>-3.1415926535897931</v>
      </c>
      <c r="AG25" s="102">
        <f t="shared" si="18"/>
        <v>-180</v>
      </c>
      <c r="AH25" s="92">
        <f t="shared" si="59"/>
        <v>-3</v>
      </c>
      <c r="AI25" s="67">
        <f t="shared" si="60"/>
        <v>0</v>
      </c>
      <c r="AJ25" s="68">
        <f t="shared" si="61"/>
        <v>0</v>
      </c>
      <c r="AK25" s="69">
        <f t="shared" si="62"/>
        <v>-3</v>
      </c>
      <c r="AL25" s="67">
        <f t="shared" si="63"/>
        <v>0</v>
      </c>
      <c r="AM25" s="67">
        <f t="shared" si="64"/>
        <v>0</v>
      </c>
      <c r="AN25" s="68" t="e">
        <f t="shared" si="65"/>
        <v>#DIV/0!</v>
      </c>
      <c r="AO25" s="69" t="e">
        <f t="shared" si="66"/>
        <v>#DIV/0!</v>
      </c>
      <c r="AP25" s="67" t="e">
        <f t="shared" si="67"/>
        <v>#DIV/0!</v>
      </c>
      <c r="AQ25" s="93" t="e">
        <f t="shared" si="68"/>
        <v>#DIV/0!</v>
      </c>
      <c r="AR25" s="92">
        <f t="shared" si="69"/>
        <v>3</v>
      </c>
      <c r="AS25" s="67">
        <f t="shared" si="70"/>
        <v>0</v>
      </c>
      <c r="AT25" s="68">
        <f t="shared" si="71"/>
        <v>0</v>
      </c>
      <c r="AU25" s="69">
        <f t="shared" si="72"/>
        <v>3</v>
      </c>
      <c r="AV25" s="67">
        <f t="shared" si="73"/>
        <v>0</v>
      </c>
      <c r="AW25" s="67">
        <f t="shared" si="74"/>
        <v>0</v>
      </c>
      <c r="AX25" s="68" t="e">
        <f t="shared" si="75"/>
        <v>#DIV/0!</v>
      </c>
      <c r="AY25" s="69" t="e">
        <f t="shared" si="76"/>
        <v>#DIV/0!</v>
      </c>
      <c r="AZ25" s="67" t="e">
        <f t="shared" si="77"/>
        <v>#DIV/0!</v>
      </c>
      <c r="BA25" s="93" t="e">
        <f t="shared" si="78"/>
        <v>#DIV/0!</v>
      </c>
      <c r="BC25" s="21" t="s">
        <v>500</v>
      </c>
    </row>
    <row r="26" spans="1:55" s="16" customFormat="1" x14ac:dyDescent="0.3">
      <c r="A26" s="40">
        <v>4</v>
      </c>
      <c r="B26" s="40">
        <v>5</v>
      </c>
      <c r="C26" s="40">
        <f>PI()/4</f>
        <v>0.78539816339744828</v>
      </c>
      <c r="D26" s="40">
        <v>3</v>
      </c>
      <c r="E26" s="40">
        <v>3</v>
      </c>
      <c r="F26" s="16">
        <f t="shared" si="1"/>
        <v>0</v>
      </c>
      <c r="G26" s="16" t="e">
        <f t="shared" si="2"/>
        <v>#DIV/0!</v>
      </c>
      <c r="H26" s="16">
        <f t="shared" si="3"/>
        <v>3</v>
      </c>
      <c r="I26" s="16">
        <f t="shared" si="4"/>
        <v>0</v>
      </c>
      <c r="J26" s="92">
        <f t="shared" si="5"/>
        <v>3</v>
      </c>
      <c r="K26" s="67">
        <v>0</v>
      </c>
      <c r="L26" s="68">
        <v>0</v>
      </c>
      <c r="M26" s="69">
        <f t="shared" si="6"/>
        <v>3</v>
      </c>
      <c r="N26" s="67">
        <f t="shared" si="7"/>
        <v>0</v>
      </c>
      <c r="O26" s="67">
        <v>0</v>
      </c>
      <c r="P26" s="68" t="e">
        <f t="shared" si="8"/>
        <v>#DIV/0!</v>
      </c>
      <c r="Q26" s="69">
        <v>0</v>
      </c>
      <c r="R26" s="67" t="e">
        <f t="shared" si="9"/>
        <v>#DIV/0!</v>
      </c>
      <c r="S26" s="93">
        <v>1</v>
      </c>
      <c r="T26" s="92">
        <f t="shared" si="10"/>
        <v>-3</v>
      </c>
      <c r="U26" s="67">
        <v>0</v>
      </c>
      <c r="V26" s="68">
        <v>0</v>
      </c>
      <c r="W26" s="69">
        <f t="shared" si="11"/>
        <v>-3</v>
      </c>
      <c r="X26" s="67">
        <f t="shared" si="12"/>
        <v>0</v>
      </c>
      <c r="Y26" s="67">
        <v>0</v>
      </c>
      <c r="Z26" s="68" t="e">
        <f t="shared" si="13"/>
        <v>#DIV/0!</v>
      </c>
      <c r="AA26" s="69">
        <v>0</v>
      </c>
      <c r="AB26" s="67" t="e">
        <f t="shared" si="14"/>
        <v>#DIV/0!</v>
      </c>
      <c r="AC26" s="93">
        <v>1</v>
      </c>
      <c r="AD26" s="102">
        <f t="shared" si="15"/>
        <v>4</v>
      </c>
      <c r="AE26" s="102">
        <f t="shared" si="16"/>
        <v>5</v>
      </c>
      <c r="AF26" s="102">
        <f t="shared" si="17"/>
        <v>0.78539816339744828</v>
      </c>
      <c r="AG26" s="102">
        <f t="shared" si="18"/>
        <v>45</v>
      </c>
      <c r="AH26" s="92">
        <f t="shared" si="59"/>
        <v>6.1213199999999999</v>
      </c>
      <c r="AI26" s="67">
        <f t="shared" si="60"/>
        <v>7.1213199999999999</v>
      </c>
      <c r="AJ26" s="68">
        <f t="shared" si="61"/>
        <v>1.8786799999999999</v>
      </c>
      <c r="AK26" s="69">
        <f t="shared" si="62"/>
        <v>7.1213199999999999</v>
      </c>
      <c r="AL26" s="67">
        <f t="shared" si="63"/>
        <v>4</v>
      </c>
      <c r="AM26" s="67">
        <f t="shared" si="64"/>
        <v>5</v>
      </c>
      <c r="AN26" s="68" t="e">
        <f t="shared" si="65"/>
        <v>#DIV/0!</v>
      </c>
      <c r="AO26" s="69" t="e">
        <f t="shared" si="66"/>
        <v>#DIV/0!</v>
      </c>
      <c r="AP26" s="67" t="e">
        <f t="shared" si="67"/>
        <v>#DIV/0!</v>
      </c>
      <c r="AQ26" s="93" t="e">
        <f t="shared" si="68"/>
        <v>#DIV/0!</v>
      </c>
      <c r="AR26" s="92">
        <f t="shared" si="69"/>
        <v>1.8786799999999999</v>
      </c>
      <c r="AS26" s="67">
        <f t="shared" si="70"/>
        <v>2.8786800000000001</v>
      </c>
      <c r="AT26" s="68">
        <f t="shared" si="71"/>
        <v>6.1213199999999999</v>
      </c>
      <c r="AU26" s="69">
        <f t="shared" si="72"/>
        <v>2.8786800000000001</v>
      </c>
      <c r="AV26" s="67">
        <f t="shared" si="73"/>
        <v>4</v>
      </c>
      <c r="AW26" s="67">
        <f t="shared" si="74"/>
        <v>5</v>
      </c>
      <c r="AX26" s="68" t="e">
        <f t="shared" si="75"/>
        <v>#DIV/0!</v>
      </c>
      <c r="AY26" s="69" t="e">
        <f t="shared" si="76"/>
        <v>#DIV/0!</v>
      </c>
      <c r="AZ26" s="67" t="e">
        <f t="shared" si="77"/>
        <v>#DIV/0!</v>
      </c>
      <c r="BA26" s="93" t="e">
        <f t="shared" si="78"/>
        <v>#DIV/0!</v>
      </c>
      <c r="BC26" s="21" t="s">
        <v>501</v>
      </c>
    </row>
    <row r="27" spans="1:55" x14ac:dyDescent="0.3">
      <c r="D27" s="103"/>
      <c r="J27" s="92">
        <f t="shared" si="5"/>
        <v>0</v>
      </c>
      <c r="T27" s="92">
        <f t="shared" si="10"/>
        <v>0</v>
      </c>
    </row>
    <row r="28" spans="1:55" s="2" customFormat="1" x14ac:dyDescent="0.3">
      <c r="A28" s="2" t="s">
        <v>478</v>
      </c>
    </row>
    <row r="29" spans="1:55" x14ac:dyDescent="0.3">
      <c r="J29" s="127" t="s">
        <v>325</v>
      </c>
      <c r="K29" s="128"/>
      <c r="L29" s="128"/>
      <c r="M29" s="128"/>
      <c r="N29" s="128"/>
      <c r="O29" s="128"/>
      <c r="P29" s="128"/>
      <c r="Q29" s="128"/>
      <c r="R29" s="128"/>
      <c r="S29" s="129"/>
      <c r="T29" s="127" t="s">
        <v>326</v>
      </c>
      <c r="U29" s="128"/>
      <c r="V29" s="128"/>
      <c r="W29" s="128"/>
      <c r="X29" s="128"/>
      <c r="Y29" s="128"/>
      <c r="Z29" s="128"/>
      <c r="AA29" s="128"/>
      <c r="AB29" s="128"/>
      <c r="AC29" s="129"/>
      <c r="AH29" s="127" t="s">
        <v>488</v>
      </c>
      <c r="AI29" s="128"/>
      <c r="AJ29" s="128"/>
      <c r="AK29" s="128"/>
      <c r="AL29" s="128"/>
      <c r="AM29" s="128"/>
      <c r="AN29" s="128"/>
      <c r="AO29" s="128"/>
      <c r="AP29" s="128"/>
      <c r="AQ29" s="129"/>
      <c r="AR29" s="127" t="s">
        <v>489</v>
      </c>
      <c r="AS29" s="128"/>
      <c r="AT29" s="128"/>
      <c r="AU29" s="128"/>
      <c r="AV29" s="128"/>
      <c r="AW29" s="128"/>
      <c r="AX29" s="128"/>
      <c r="AY29" s="128"/>
      <c r="AZ29" s="128"/>
      <c r="BA29" s="129"/>
    </row>
    <row r="30" spans="1:55" x14ac:dyDescent="0.3">
      <c r="A30" s="119" t="s">
        <v>482</v>
      </c>
      <c r="B30" s="119"/>
      <c r="C30" t="s">
        <v>414</v>
      </c>
      <c r="J30" s="126" t="s">
        <v>481</v>
      </c>
      <c r="K30" s="124"/>
      <c r="L30" s="122" t="s">
        <v>485</v>
      </c>
      <c r="M30" s="123"/>
      <c r="N30" s="124" t="s">
        <v>256</v>
      </c>
      <c r="O30" s="124"/>
      <c r="P30" s="122" t="s">
        <v>486</v>
      </c>
      <c r="Q30" s="123"/>
      <c r="R30" s="124" t="s">
        <v>487</v>
      </c>
      <c r="S30" s="125"/>
      <c r="T30" s="126" t="s">
        <v>481</v>
      </c>
      <c r="U30" s="124"/>
      <c r="V30" s="122" t="s">
        <v>485</v>
      </c>
      <c r="W30" s="123"/>
      <c r="X30" s="124" t="s">
        <v>256</v>
      </c>
      <c r="Y30" s="124"/>
      <c r="Z30" s="122" t="s">
        <v>486</v>
      </c>
      <c r="AA30" s="123"/>
      <c r="AB30" s="124" t="s">
        <v>487</v>
      </c>
      <c r="AC30" s="125"/>
      <c r="AD30" s="121" t="s">
        <v>441</v>
      </c>
      <c r="AE30" s="121"/>
      <c r="AF30" s="121"/>
      <c r="AG30" s="121"/>
      <c r="AH30" s="126" t="s">
        <v>481</v>
      </c>
      <c r="AI30" s="124"/>
      <c r="AJ30" s="122" t="s">
        <v>485</v>
      </c>
      <c r="AK30" s="123"/>
      <c r="AL30" s="124" t="s">
        <v>256</v>
      </c>
      <c r="AM30" s="124"/>
      <c r="AN30" s="122" t="s">
        <v>486</v>
      </c>
      <c r="AO30" s="123"/>
      <c r="AP30" s="124" t="s">
        <v>487</v>
      </c>
      <c r="AQ30" s="125"/>
      <c r="AR30" s="126" t="s">
        <v>481</v>
      </c>
      <c r="AS30" s="124"/>
      <c r="AT30" s="122" t="s">
        <v>485</v>
      </c>
      <c r="AU30" s="123"/>
      <c r="AV30" s="124" t="s">
        <v>256</v>
      </c>
      <c r="AW30" s="124"/>
      <c r="AX30" s="122" t="s">
        <v>486</v>
      </c>
      <c r="AY30" s="123"/>
      <c r="AZ30" s="124" t="s">
        <v>487</v>
      </c>
      <c r="BA30" s="125"/>
    </row>
    <row r="31" spans="1:55" ht="15" thickBot="1" x14ac:dyDescent="0.35">
      <c r="A31" t="s">
        <v>22</v>
      </c>
      <c r="B31" t="s">
        <v>23</v>
      </c>
      <c r="C31" t="s">
        <v>483</v>
      </c>
      <c r="D31" t="s">
        <v>153</v>
      </c>
      <c r="E31" t="s">
        <v>154</v>
      </c>
      <c r="F31" t="s">
        <v>155</v>
      </c>
      <c r="G31" t="s">
        <v>245</v>
      </c>
      <c r="H31" t="s">
        <v>243</v>
      </c>
      <c r="I31" t="s">
        <v>246</v>
      </c>
      <c r="J31" s="90" t="s">
        <v>22</v>
      </c>
      <c r="K31" s="16" t="s">
        <v>23</v>
      </c>
      <c r="L31" s="15" t="s">
        <v>22</v>
      </c>
      <c r="M31" s="19" t="s">
        <v>23</v>
      </c>
      <c r="N31" s="16" t="s">
        <v>22</v>
      </c>
      <c r="O31" s="16" t="s">
        <v>23</v>
      </c>
      <c r="P31" s="15" t="s">
        <v>22</v>
      </c>
      <c r="Q31" s="19" t="s">
        <v>23</v>
      </c>
      <c r="R31" s="16" t="s">
        <v>22</v>
      </c>
      <c r="S31" s="91" t="s">
        <v>23</v>
      </c>
      <c r="T31" s="90" t="s">
        <v>22</v>
      </c>
      <c r="U31" s="16" t="s">
        <v>23</v>
      </c>
      <c r="V31" s="15" t="s">
        <v>22</v>
      </c>
      <c r="W31" s="19" t="s">
        <v>23</v>
      </c>
      <c r="X31" s="16" t="s">
        <v>22</v>
      </c>
      <c r="Y31" s="16" t="s">
        <v>23</v>
      </c>
      <c r="Z31" s="15" t="s">
        <v>22</v>
      </c>
      <c r="AA31" s="19" t="s">
        <v>23</v>
      </c>
      <c r="AB31" s="16" t="s">
        <v>22</v>
      </c>
      <c r="AC31" s="91" t="s">
        <v>23</v>
      </c>
      <c r="AD31" s="6" t="s">
        <v>22</v>
      </c>
      <c r="AE31" s="6" t="s">
        <v>23</v>
      </c>
      <c r="AF31" s="6" t="s">
        <v>442</v>
      </c>
      <c r="AG31" s="6" t="s">
        <v>443</v>
      </c>
      <c r="AH31" s="90" t="s">
        <v>22</v>
      </c>
      <c r="AI31" s="16" t="s">
        <v>23</v>
      </c>
      <c r="AJ31" s="15" t="s">
        <v>22</v>
      </c>
      <c r="AK31" s="19" t="s">
        <v>23</v>
      </c>
      <c r="AL31" s="16" t="s">
        <v>22</v>
      </c>
      <c r="AM31" s="16" t="s">
        <v>23</v>
      </c>
      <c r="AN31" s="15" t="s">
        <v>22</v>
      </c>
      <c r="AO31" s="19" t="s">
        <v>23</v>
      </c>
      <c r="AP31" s="16" t="s">
        <v>22</v>
      </c>
      <c r="AQ31" s="91" t="s">
        <v>23</v>
      </c>
      <c r="AR31" s="90" t="s">
        <v>22</v>
      </c>
      <c r="AS31" s="16" t="s">
        <v>23</v>
      </c>
      <c r="AT31" s="15" t="s">
        <v>22</v>
      </c>
      <c r="AU31" s="19" t="s">
        <v>23</v>
      </c>
      <c r="AV31" s="16" t="s">
        <v>22</v>
      </c>
      <c r="AW31" s="16" t="s">
        <v>23</v>
      </c>
      <c r="AX31" s="15" t="s">
        <v>22</v>
      </c>
      <c r="AY31" s="19" t="s">
        <v>23</v>
      </c>
      <c r="AZ31" s="16" t="s">
        <v>22</v>
      </c>
      <c r="BA31" s="91" t="s">
        <v>23</v>
      </c>
    </row>
    <row r="32" spans="1:55" ht="15" thickTop="1" x14ac:dyDescent="0.3">
      <c r="A32" s="94">
        <v>0</v>
      </c>
      <c r="B32" s="94">
        <v>0</v>
      </c>
      <c r="C32" s="94">
        <v>0</v>
      </c>
      <c r="D32" s="94">
        <v>5</v>
      </c>
      <c r="E32" s="94">
        <v>3</v>
      </c>
      <c r="F32" s="95">
        <f t="shared" ref="F32:F43" si="79">SQRT(D32^2-E32^2)</f>
        <v>4</v>
      </c>
      <c r="G32" s="95">
        <f t="shared" ref="G32:G43" si="80">D32^2/$F32</f>
        <v>6.25</v>
      </c>
      <c r="H32" s="95">
        <f t="shared" ref="H32:H43" si="81">E32^2/$E32</f>
        <v>3</v>
      </c>
      <c r="I32" s="95">
        <f t="shared" ref="I32:I43" si="82">F32/D32</f>
        <v>0.8</v>
      </c>
      <c r="J32" s="97">
        <f t="shared" ref="J32:J43" si="83">$D32</f>
        <v>5</v>
      </c>
      <c r="K32" s="98">
        <v>0</v>
      </c>
      <c r="L32" s="100">
        <v>0</v>
      </c>
      <c r="M32" s="101">
        <f t="shared" ref="M32:M43" si="84">$E32</f>
        <v>3</v>
      </c>
      <c r="N32" s="98">
        <f t="shared" ref="N32:N43" si="85">$F32</f>
        <v>4</v>
      </c>
      <c r="O32" s="98">
        <v>0</v>
      </c>
      <c r="P32" s="100">
        <f t="shared" ref="P32:P43" si="86">$G32</f>
        <v>6.25</v>
      </c>
      <c r="Q32" s="101">
        <v>0</v>
      </c>
      <c r="R32" s="98">
        <f t="shared" ref="R32:R43" si="87">$G32</f>
        <v>6.25</v>
      </c>
      <c r="S32" s="99">
        <v>1</v>
      </c>
      <c r="T32" s="97">
        <f t="shared" ref="T32:T43" si="88">-$D32</f>
        <v>-5</v>
      </c>
      <c r="U32" s="98">
        <v>0</v>
      </c>
      <c r="V32" s="100">
        <v>0</v>
      </c>
      <c r="W32" s="101">
        <f t="shared" ref="W32:W43" si="89">-$E32</f>
        <v>-3</v>
      </c>
      <c r="X32" s="98">
        <f t="shared" ref="X32:X43" si="90">-$F32</f>
        <v>-4</v>
      </c>
      <c r="Y32" s="98">
        <v>0</v>
      </c>
      <c r="Z32" s="100">
        <f t="shared" ref="Z32:Z43" si="91">-$G32</f>
        <v>-6.25</v>
      </c>
      <c r="AA32" s="101">
        <v>0</v>
      </c>
      <c r="AB32" s="98">
        <f t="shared" ref="AB32:AB43" si="92">-$G32</f>
        <v>-6.25</v>
      </c>
      <c r="AC32" s="99">
        <v>1</v>
      </c>
      <c r="AD32" s="96">
        <f t="shared" ref="AD32:AD43" si="93">A32</f>
        <v>0</v>
      </c>
      <c r="AE32" s="96">
        <f t="shared" ref="AE32:AE43" si="94">B32</f>
        <v>0</v>
      </c>
      <c r="AF32" s="96">
        <f t="shared" ref="AF32:AF43" si="95">C32</f>
        <v>0</v>
      </c>
      <c r="AG32" s="96">
        <f t="shared" ref="AG32:AG43" si="96">DEGREES(AF32)</f>
        <v>0</v>
      </c>
      <c r="AH32" s="97">
        <f>ROUND(J32*COS($AF32)-K32*SIN($AF32)+$AD32,6)</f>
        <v>5</v>
      </c>
      <c r="AI32" s="98">
        <f>ROUND(J32*SIN($AF32)+K32*COS($AF32)+$AE32,6)</f>
        <v>0</v>
      </c>
      <c r="AJ32" s="100">
        <f t="shared" ref="AJ32:AJ41" si="97">ROUND(L32*COS($AF32)-M32*SIN($AF32)+$AD32,6)</f>
        <v>0</v>
      </c>
      <c r="AK32" s="101">
        <f t="shared" ref="AK32:AK41" si="98">ROUND(L32*SIN($AF32)+M32*COS($AF32)+$AE32,6)</f>
        <v>3</v>
      </c>
      <c r="AL32" s="98">
        <f t="shared" ref="AL32:AL41" si="99">ROUND(N32*COS($AF32)-O32*SIN($AF32)+$AD32,6)</f>
        <v>4</v>
      </c>
      <c r="AM32" s="98">
        <f t="shared" ref="AM32:AM41" si="100">ROUND(N32*SIN($AF32)+O32*COS($AF32)+$AE32,6)</f>
        <v>0</v>
      </c>
      <c r="AN32" s="100">
        <f t="shared" ref="AN32:AN41" si="101">ROUND(P32*COS($AF32)-Q32*SIN($AF32)+$AD32,6)</f>
        <v>6.25</v>
      </c>
      <c r="AO32" s="101">
        <f t="shared" ref="AO32:AO41" si="102">ROUND(P32*SIN($AF32)+Q32*COS($AF32)+$AE32,6)</f>
        <v>0</v>
      </c>
      <c r="AP32" s="98">
        <f t="shared" ref="AP32:AP41" si="103">ROUND(R32*COS($AF32)-S32*SIN($AF32)+$AD32,6)</f>
        <v>6.25</v>
      </c>
      <c r="AQ32" s="99">
        <f t="shared" ref="AQ32:AQ41" si="104">ROUND(R32*SIN($AF32)+S32*COS($AF32)+$AE32,6)</f>
        <v>1</v>
      </c>
      <c r="AR32" s="97">
        <f t="shared" ref="AR32:AR41" si="105">ROUND(T32*COS($AF32)-U32*SIN($AF32)+$AD32,6)</f>
        <v>-5</v>
      </c>
      <c r="AS32" s="98">
        <f t="shared" ref="AS32:AS41" si="106">ROUND(T32*SIN($AF32)+U32*COS($AF32)+$AE32,6)</f>
        <v>0</v>
      </c>
      <c r="AT32" s="100">
        <f t="shared" ref="AT32:AT41" si="107">ROUND(V32*COS($AF32)-W32*SIN($AF32)+$AD32,6)</f>
        <v>0</v>
      </c>
      <c r="AU32" s="101">
        <f t="shared" ref="AU32:AU41" si="108">ROUND(V32*SIN($AF32)+W32*COS($AF32)+$AE32,6)</f>
        <v>-3</v>
      </c>
      <c r="AV32" s="98">
        <f t="shared" ref="AV32:AV41" si="109">ROUND(X32*COS($AF32)-Y32*SIN($AF32)+$AD32,6)</f>
        <v>-4</v>
      </c>
      <c r="AW32" s="98">
        <f t="shared" ref="AW32:AW41" si="110">ROUND(X32*SIN($AF32)+Y32*COS($AF32)+$AE32,6)</f>
        <v>0</v>
      </c>
      <c r="AX32" s="100">
        <f t="shared" ref="AX32:AX41" si="111">ROUND(Z32*COS($AF32)-AA32*SIN($AF32)+$AD32,6)</f>
        <v>-6.25</v>
      </c>
      <c r="AY32" s="101">
        <f t="shared" ref="AY32:AY41" si="112">ROUND(Z32*SIN($AF32)+AA32*COS($AF32)+$AE32,6)</f>
        <v>0</v>
      </c>
      <c r="AZ32" s="98">
        <f t="shared" ref="AZ32:AZ41" si="113">ROUND(AB32*COS($AF32)-AC32*SIN($AF32)+$AD32,6)</f>
        <v>-6.25</v>
      </c>
      <c r="BA32" s="99">
        <f t="shared" ref="BA32:BA41" si="114">ROUND(AB32*SIN($AF32)+AC32*COS($AF32)+$AE32,6)</f>
        <v>1</v>
      </c>
      <c r="BC32" t="s">
        <v>490</v>
      </c>
    </row>
    <row r="33" spans="1:55" s="16" customFormat="1" x14ac:dyDescent="0.3">
      <c r="A33" s="40">
        <v>4</v>
      </c>
      <c r="B33" s="40">
        <v>5</v>
      </c>
      <c r="C33" s="40">
        <v>0</v>
      </c>
      <c r="D33" s="40">
        <v>5</v>
      </c>
      <c r="E33" s="40">
        <v>3</v>
      </c>
      <c r="F33" s="16">
        <f t="shared" si="79"/>
        <v>4</v>
      </c>
      <c r="G33" s="16">
        <f t="shared" si="80"/>
        <v>6.25</v>
      </c>
      <c r="H33" s="16">
        <f t="shared" si="81"/>
        <v>3</v>
      </c>
      <c r="I33" s="16">
        <f t="shared" si="82"/>
        <v>0.8</v>
      </c>
      <c r="J33" s="92">
        <f t="shared" si="83"/>
        <v>5</v>
      </c>
      <c r="K33" s="67">
        <v>0</v>
      </c>
      <c r="L33" s="68">
        <v>0</v>
      </c>
      <c r="M33" s="69">
        <f t="shared" si="84"/>
        <v>3</v>
      </c>
      <c r="N33" s="67">
        <f t="shared" si="85"/>
        <v>4</v>
      </c>
      <c r="O33" s="67">
        <v>0</v>
      </c>
      <c r="P33" s="68">
        <f t="shared" si="86"/>
        <v>6.25</v>
      </c>
      <c r="Q33" s="69">
        <v>0</v>
      </c>
      <c r="R33" s="67">
        <f t="shared" si="87"/>
        <v>6.25</v>
      </c>
      <c r="S33" s="93">
        <v>1</v>
      </c>
      <c r="T33" s="92">
        <f t="shared" si="88"/>
        <v>-5</v>
      </c>
      <c r="U33" s="67">
        <v>0</v>
      </c>
      <c r="V33" s="68">
        <v>0</v>
      </c>
      <c r="W33" s="69">
        <f t="shared" si="89"/>
        <v>-3</v>
      </c>
      <c r="X33" s="67">
        <f t="shared" si="90"/>
        <v>-4</v>
      </c>
      <c r="Y33" s="67">
        <v>0</v>
      </c>
      <c r="Z33" s="68">
        <f t="shared" si="91"/>
        <v>-6.25</v>
      </c>
      <c r="AA33" s="69">
        <v>0</v>
      </c>
      <c r="AB33" s="67">
        <f t="shared" si="92"/>
        <v>-6.25</v>
      </c>
      <c r="AC33" s="93">
        <v>1</v>
      </c>
      <c r="AD33" s="102">
        <f t="shared" si="93"/>
        <v>4</v>
      </c>
      <c r="AE33" s="102">
        <f t="shared" si="94"/>
        <v>5</v>
      </c>
      <c r="AF33" s="102">
        <f t="shared" si="95"/>
        <v>0</v>
      </c>
      <c r="AG33" s="102">
        <f t="shared" si="96"/>
        <v>0</v>
      </c>
      <c r="AH33" s="92">
        <f t="shared" ref="AH33:AH41" si="115">ROUND(J33*COS($AF33)-K33*SIN($AF33)+$AD33,6)</f>
        <v>9</v>
      </c>
      <c r="AI33" s="67">
        <f t="shared" ref="AI33:AI41" si="116">ROUND(J33*SIN($AF33)+K33*COS($AF33)+$AE33,6)</f>
        <v>5</v>
      </c>
      <c r="AJ33" s="68">
        <f t="shared" si="97"/>
        <v>4</v>
      </c>
      <c r="AK33" s="69">
        <f t="shared" si="98"/>
        <v>8</v>
      </c>
      <c r="AL33" s="67">
        <f t="shared" si="99"/>
        <v>8</v>
      </c>
      <c r="AM33" s="67">
        <f t="shared" si="100"/>
        <v>5</v>
      </c>
      <c r="AN33" s="68">
        <f t="shared" si="101"/>
        <v>10.25</v>
      </c>
      <c r="AO33" s="69">
        <f t="shared" si="102"/>
        <v>5</v>
      </c>
      <c r="AP33" s="67">
        <f t="shared" si="103"/>
        <v>10.25</v>
      </c>
      <c r="AQ33" s="93">
        <f t="shared" si="104"/>
        <v>6</v>
      </c>
      <c r="AR33" s="92">
        <f t="shared" si="105"/>
        <v>-1</v>
      </c>
      <c r="AS33" s="67">
        <f t="shared" si="106"/>
        <v>5</v>
      </c>
      <c r="AT33" s="68">
        <f t="shared" si="107"/>
        <v>4</v>
      </c>
      <c r="AU33" s="69">
        <f t="shared" si="108"/>
        <v>2</v>
      </c>
      <c r="AV33" s="67">
        <f t="shared" si="109"/>
        <v>0</v>
      </c>
      <c r="AW33" s="67">
        <f t="shared" si="110"/>
        <v>5</v>
      </c>
      <c r="AX33" s="68">
        <f t="shared" si="111"/>
        <v>-2.25</v>
      </c>
      <c r="AY33" s="69">
        <f t="shared" si="112"/>
        <v>5</v>
      </c>
      <c r="AZ33" s="67">
        <f t="shared" si="113"/>
        <v>-2.25</v>
      </c>
      <c r="BA33" s="93">
        <f t="shared" si="114"/>
        <v>6</v>
      </c>
      <c r="BC33" s="16" t="s">
        <v>491</v>
      </c>
    </row>
    <row r="34" spans="1:55" s="16" customFormat="1" x14ac:dyDescent="0.3">
      <c r="A34" s="40">
        <v>-4</v>
      </c>
      <c r="B34" s="40">
        <v>5</v>
      </c>
      <c r="C34" s="40">
        <v>0</v>
      </c>
      <c r="D34" s="40">
        <v>5</v>
      </c>
      <c r="E34" s="40">
        <v>3</v>
      </c>
      <c r="F34" s="16">
        <f t="shared" si="79"/>
        <v>4</v>
      </c>
      <c r="G34" s="16">
        <f t="shared" si="80"/>
        <v>6.25</v>
      </c>
      <c r="H34" s="16">
        <f t="shared" si="81"/>
        <v>3</v>
      </c>
      <c r="I34" s="16">
        <f t="shared" si="82"/>
        <v>0.8</v>
      </c>
      <c r="J34" s="92">
        <f t="shared" si="83"/>
        <v>5</v>
      </c>
      <c r="K34" s="67">
        <v>0</v>
      </c>
      <c r="L34" s="68">
        <v>0</v>
      </c>
      <c r="M34" s="69">
        <f t="shared" si="84"/>
        <v>3</v>
      </c>
      <c r="N34" s="67">
        <f t="shared" si="85"/>
        <v>4</v>
      </c>
      <c r="O34" s="67">
        <v>0</v>
      </c>
      <c r="P34" s="68">
        <f t="shared" si="86"/>
        <v>6.25</v>
      </c>
      <c r="Q34" s="69">
        <v>0</v>
      </c>
      <c r="R34" s="67">
        <f t="shared" si="87"/>
        <v>6.25</v>
      </c>
      <c r="S34" s="93">
        <v>1</v>
      </c>
      <c r="T34" s="92">
        <f t="shared" si="88"/>
        <v>-5</v>
      </c>
      <c r="U34" s="67">
        <v>0</v>
      </c>
      <c r="V34" s="68">
        <v>0</v>
      </c>
      <c r="W34" s="69">
        <f t="shared" si="89"/>
        <v>-3</v>
      </c>
      <c r="X34" s="67">
        <f t="shared" si="90"/>
        <v>-4</v>
      </c>
      <c r="Y34" s="67">
        <v>0</v>
      </c>
      <c r="Z34" s="68">
        <f t="shared" si="91"/>
        <v>-6.25</v>
      </c>
      <c r="AA34" s="69">
        <v>0</v>
      </c>
      <c r="AB34" s="67">
        <f t="shared" si="92"/>
        <v>-6.25</v>
      </c>
      <c r="AC34" s="93">
        <v>1</v>
      </c>
      <c r="AD34" s="102">
        <f t="shared" si="93"/>
        <v>-4</v>
      </c>
      <c r="AE34" s="102">
        <f t="shared" si="94"/>
        <v>5</v>
      </c>
      <c r="AF34" s="102">
        <f t="shared" si="95"/>
        <v>0</v>
      </c>
      <c r="AG34" s="102">
        <f t="shared" si="96"/>
        <v>0</v>
      </c>
      <c r="AH34" s="92">
        <f t="shared" si="115"/>
        <v>1</v>
      </c>
      <c r="AI34" s="67">
        <f t="shared" si="116"/>
        <v>5</v>
      </c>
      <c r="AJ34" s="68">
        <f t="shared" si="97"/>
        <v>-4</v>
      </c>
      <c r="AK34" s="69">
        <f t="shared" si="98"/>
        <v>8</v>
      </c>
      <c r="AL34" s="67">
        <f t="shared" si="99"/>
        <v>0</v>
      </c>
      <c r="AM34" s="67">
        <f t="shared" si="100"/>
        <v>5</v>
      </c>
      <c r="AN34" s="68">
        <f t="shared" si="101"/>
        <v>2.25</v>
      </c>
      <c r="AO34" s="69">
        <f t="shared" si="102"/>
        <v>5</v>
      </c>
      <c r="AP34" s="67">
        <f t="shared" si="103"/>
        <v>2.25</v>
      </c>
      <c r="AQ34" s="93">
        <f t="shared" si="104"/>
        <v>6</v>
      </c>
      <c r="AR34" s="92">
        <f t="shared" si="105"/>
        <v>-9</v>
      </c>
      <c r="AS34" s="67">
        <f t="shared" si="106"/>
        <v>5</v>
      </c>
      <c r="AT34" s="68">
        <f t="shared" si="107"/>
        <v>-4</v>
      </c>
      <c r="AU34" s="69">
        <f t="shared" si="108"/>
        <v>2</v>
      </c>
      <c r="AV34" s="67">
        <f t="shared" si="109"/>
        <v>-8</v>
      </c>
      <c r="AW34" s="67">
        <f t="shared" si="110"/>
        <v>5</v>
      </c>
      <c r="AX34" s="68">
        <f t="shared" si="111"/>
        <v>-10.25</v>
      </c>
      <c r="AY34" s="69">
        <f t="shared" si="112"/>
        <v>5</v>
      </c>
      <c r="AZ34" s="67">
        <f t="shared" si="113"/>
        <v>-10.25</v>
      </c>
      <c r="BA34" s="93">
        <f t="shared" si="114"/>
        <v>6</v>
      </c>
      <c r="BC34" s="16" t="s">
        <v>492</v>
      </c>
    </row>
    <row r="35" spans="1:55" s="16" customFormat="1" x14ac:dyDescent="0.3">
      <c r="A35" s="40">
        <v>-4</v>
      </c>
      <c r="B35" s="40">
        <v>-5</v>
      </c>
      <c r="C35" s="40">
        <v>0</v>
      </c>
      <c r="D35" s="40">
        <v>5</v>
      </c>
      <c r="E35" s="40">
        <v>3</v>
      </c>
      <c r="F35" s="16">
        <f t="shared" si="79"/>
        <v>4</v>
      </c>
      <c r="G35" s="16">
        <f t="shared" si="80"/>
        <v>6.25</v>
      </c>
      <c r="H35" s="16">
        <f t="shared" si="81"/>
        <v>3</v>
      </c>
      <c r="I35" s="16">
        <f t="shared" si="82"/>
        <v>0.8</v>
      </c>
      <c r="J35" s="92">
        <f t="shared" si="83"/>
        <v>5</v>
      </c>
      <c r="K35" s="67">
        <v>0</v>
      </c>
      <c r="L35" s="68">
        <v>0</v>
      </c>
      <c r="M35" s="69">
        <f t="shared" si="84"/>
        <v>3</v>
      </c>
      <c r="N35" s="67">
        <f t="shared" si="85"/>
        <v>4</v>
      </c>
      <c r="O35" s="67">
        <v>0</v>
      </c>
      <c r="P35" s="68">
        <f t="shared" si="86"/>
        <v>6.25</v>
      </c>
      <c r="Q35" s="69">
        <v>0</v>
      </c>
      <c r="R35" s="67">
        <f t="shared" si="87"/>
        <v>6.25</v>
      </c>
      <c r="S35" s="93">
        <v>1</v>
      </c>
      <c r="T35" s="92">
        <f t="shared" si="88"/>
        <v>-5</v>
      </c>
      <c r="U35" s="67">
        <v>0</v>
      </c>
      <c r="V35" s="68">
        <v>0</v>
      </c>
      <c r="W35" s="69">
        <f t="shared" si="89"/>
        <v>-3</v>
      </c>
      <c r="X35" s="67">
        <f t="shared" si="90"/>
        <v>-4</v>
      </c>
      <c r="Y35" s="67">
        <v>0</v>
      </c>
      <c r="Z35" s="68">
        <f t="shared" si="91"/>
        <v>-6.25</v>
      </c>
      <c r="AA35" s="69">
        <v>0</v>
      </c>
      <c r="AB35" s="67">
        <f t="shared" si="92"/>
        <v>-6.25</v>
      </c>
      <c r="AC35" s="93">
        <v>1</v>
      </c>
      <c r="AD35" s="102">
        <f t="shared" si="93"/>
        <v>-4</v>
      </c>
      <c r="AE35" s="102">
        <f t="shared" si="94"/>
        <v>-5</v>
      </c>
      <c r="AF35" s="102">
        <f t="shared" si="95"/>
        <v>0</v>
      </c>
      <c r="AG35" s="102">
        <f t="shared" si="96"/>
        <v>0</v>
      </c>
      <c r="AH35" s="92">
        <f t="shared" si="115"/>
        <v>1</v>
      </c>
      <c r="AI35" s="67">
        <f t="shared" si="116"/>
        <v>-5</v>
      </c>
      <c r="AJ35" s="68">
        <f t="shared" si="97"/>
        <v>-4</v>
      </c>
      <c r="AK35" s="69">
        <f t="shared" si="98"/>
        <v>-2</v>
      </c>
      <c r="AL35" s="67">
        <f t="shared" si="99"/>
        <v>0</v>
      </c>
      <c r="AM35" s="67">
        <f t="shared" si="100"/>
        <v>-5</v>
      </c>
      <c r="AN35" s="68">
        <f t="shared" si="101"/>
        <v>2.25</v>
      </c>
      <c r="AO35" s="69">
        <f t="shared" si="102"/>
        <v>-5</v>
      </c>
      <c r="AP35" s="67">
        <f t="shared" si="103"/>
        <v>2.25</v>
      </c>
      <c r="AQ35" s="93">
        <f t="shared" si="104"/>
        <v>-4</v>
      </c>
      <c r="AR35" s="92">
        <f t="shared" si="105"/>
        <v>-9</v>
      </c>
      <c r="AS35" s="67">
        <f t="shared" si="106"/>
        <v>-5</v>
      </c>
      <c r="AT35" s="68">
        <f t="shared" si="107"/>
        <v>-4</v>
      </c>
      <c r="AU35" s="69">
        <f t="shared" si="108"/>
        <v>-8</v>
      </c>
      <c r="AV35" s="67">
        <f t="shared" si="109"/>
        <v>-8</v>
      </c>
      <c r="AW35" s="67">
        <f t="shared" si="110"/>
        <v>-5</v>
      </c>
      <c r="AX35" s="68">
        <f t="shared" si="111"/>
        <v>-10.25</v>
      </c>
      <c r="AY35" s="69">
        <f t="shared" si="112"/>
        <v>-5</v>
      </c>
      <c r="AZ35" s="67">
        <f t="shared" si="113"/>
        <v>-10.25</v>
      </c>
      <c r="BA35" s="93">
        <f t="shared" si="114"/>
        <v>-4</v>
      </c>
      <c r="BC35" s="16" t="s">
        <v>493</v>
      </c>
    </row>
    <row r="36" spans="1:55" s="16" customFormat="1" x14ac:dyDescent="0.3">
      <c r="A36" s="40">
        <v>4</v>
      </c>
      <c r="B36" s="40">
        <v>-5</v>
      </c>
      <c r="C36" s="40">
        <v>0</v>
      </c>
      <c r="D36" s="40">
        <v>5</v>
      </c>
      <c r="E36" s="40">
        <v>3</v>
      </c>
      <c r="F36" s="16">
        <f t="shared" si="79"/>
        <v>4</v>
      </c>
      <c r="G36" s="16">
        <f t="shared" si="80"/>
        <v>6.25</v>
      </c>
      <c r="H36" s="16">
        <f t="shared" si="81"/>
        <v>3</v>
      </c>
      <c r="I36" s="16">
        <f t="shared" si="82"/>
        <v>0.8</v>
      </c>
      <c r="J36" s="92">
        <f t="shared" si="83"/>
        <v>5</v>
      </c>
      <c r="K36" s="67">
        <v>0</v>
      </c>
      <c r="L36" s="68">
        <v>0</v>
      </c>
      <c r="M36" s="69">
        <f t="shared" si="84"/>
        <v>3</v>
      </c>
      <c r="N36" s="67">
        <f t="shared" si="85"/>
        <v>4</v>
      </c>
      <c r="O36" s="67">
        <v>0</v>
      </c>
      <c r="P36" s="68">
        <f t="shared" si="86"/>
        <v>6.25</v>
      </c>
      <c r="Q36" s="69">
        <v>0</v>
      </c>
      <c r="R36" s="67">
        <f t="shared" si="87"/>
        <v>6.25</v>
      </c>
      <c r="S36" s="93">
        <v>1</v>
      </c>
      <c r="T36" s="92">
        <f t="shared" si="88"/>
        <v>-5</v>
      </c>
      <c r="U36" s="67">
        <v>0</v>
      </c>
      <c r="V36" s="68">
        <v>0</v>
      </c>
      <c r="W36" s="69">
        <f t="shared" si="89"/>
        <v>-3</v>
      </c>
      <c r="X36" s="67">
        <f t="shared" si="90"/>
        <v>-4</v>
      </c>
      <c r="Y36" s="67">
        <v>0</v>
      </c>
      <c r="Z36" s="68">
        <f t="shared" si="91"/>
        <v>-6.25</v>
      </c>
      <c r="AA36" s="69">
        <v>0</v>
      </c>
      <c r="AB36" s="67">
        <f t="shared" si="92"/>
        <v>-6.25</v>
      </c>
      <c r="AC36" s="93">
        <v>1</v>
      </c>
      <c r="AD36" s="102">
        <f t="shared" si="93"/>
        <v>4</v>
      </c>
      <c r="AE36" s="102">
        <f t="shared" si="94"/>
        <v>-5</v>
      </c>
      <c r="AF36" s="102">
        <f t="shared" si="95"/>
        <v>0</v>
      </c>
      <c r="AG36" s="102">
        <f t="shared" si="96"/>
        <v>0</v>
      </c>
      <c r="AH36" s="92">
        <f t="shared" si="115"/>
        <v>9</v>
      </c>
      <c r="AI36" s="67">
        <f t="shared" si="116"/>
        <v>-5</v>
      </c>
      <c r="AJ36" s="68">
        <f t="shared" si="97"/>
        <v>4</v>
      </c>
      <c r="AK36" s="69">
        <f t="shared" si="98"/>
        <v>-2</v>
      </c>
      <c r="AL36" s="67">
        <f t="shared" si="99"/>
        <v>8</v>
      </c>
      <c r="AM36" s="67">
        <f t="shared" si="100"/>
        <v>-5</v>
      </c>
      <c r="AN36" s="68">
        <f t="shared" si="101"/>
        <v>10.25</v>
      </c>
      <c r="AO36" s="69">
        <f t="shared" si="102"/>
        <v>-5</v>
      </c>
      <c r="AP36" s="67">
        <f t="shared" si="103"/>
        <v>10.25</v>
      </c>
      <c r="AQ36" s="93">
        <f t="shared" si="104"/>
        <v>-4</v>
      </c>
      <c r="AR36" s="92">
        <f t="shared" si="105"/>
        <v>-1</v>
      </c>
      <c r="AS36" s="67">
        <f t="shared" si="106"/>
        <v>-5</v>
      </c>
      <c r="AT36" s="68">
        <f t="shared" si="107"/>
        <v>4</v>
      </c>
      <c r="AU36" s="69">
        <f t="shared" si="108"/>
        <v>-8</v>
      </c>
      <c r="AV36" s="67">
        <f t="shared" si="109"/>
        <v>0</v>
      </c>
      <c r="AW36" s="67">
        <f t="shared" si="110"/>
        <v>-5</v>
      </c>
      <c r="AX36" s="68">
        <f t="shared" si="111"/>
        <v>-2.25</v>
      </c>
      <c r="AY36" s="69">
        <f t="shared" si="112"/>
        <v>-5</v>
      </c>
      <c r="AZ36" s="67">
        <f t="shared" si="113"/>
        <v>-2.25</v>
      </c>
      <c r="BA36" s="93">
        <f t="shared" si="114"/>
        <v>-4</v>
      </c>
      <c r="BC36" s="16" t="s">
        <v>494</v>
      </c>
    </row>
    <row r="37" spans="1:55" s="16" customFormat="1" x14ac:dyDescent="0.3">
      <c r="A37" s="40">
        <v>0</v>
      </c>
      <c r="B37" s="40">
        <v>0</v>
      </c>
      <c r="C37" s="40">
        <f>PI()/4</f>
        <v>0.78539816339744828</v>
      </c>
      <c r="D37" s="40">
        <v>5</v>
      </c>
      <c r="E37" s="40">
        <v>3</v>
      </c>
      <c r="F37" s="16">
        <f t="shared" si="79"/>
        <v>4</v>
      </c>
      <c r="G37" s="16">
        <f t="shared" si="80"/>
        <v>6.25</v>
      </c>
      <c r="H37" s="16">
        <f t="shared" si="81"/>
        <v>3</v>
      </c>
      <c r="I37" s="16">
        <f t="shared" si="82"/>
        <v>0.8</v>
      </c>
      <c r="J37" s="92">
        <f t="shared" si="83"/>
        <v>5</v>
      </c>
      <c r="K37" s="67">
        <v>0</v>
      </c>
      <c r="L37" s="68">
        <v>0</v>
      </c>
      <c r="M37" s="69">
        <f t="shared" si="84"/>
        <v>3</v>
      </c>
      <c r="N37" s="67">
        <f t="shared" si="85"/>
        <v>4</v>
      </c>
      <c r="O37" s="67">
        <v>0</v>
      </c>
      <c r="P37" s="68">
        <f t="shared" si="86"/>
        <v>6.25</v>
      </c>
      <c r="Q37" s="69">
        <v>0</v>
      </c>
      <c r="R37" s="67">
        <f t="shared" si="87"/>
        <v>6.25</v>
      </c>
      <c r="S37" s="93">
        <v>1</v>
      </c>
      <c r="T37" s="92">
        <f t="shared" si="88"/>
        <v>-5</v>
      </c>
      <c r="U37" s="67">
        <v>0</v>
      </c>
      <c r="V37" s="68">
        <v>0</v>
      </c>
      <c r="W37" s="69">
        <f t="shared" si="89"/>
        <v>-3</v>
      </c>
      <c r="X37" s="67">
        <f t="shared" si="90"/>
        <v>-4</v>
      </c>
      <c r="Y37" s="67">
        <v>0</v>
      </c>
      <c r="Z37" s="68">
        <f t="shared" si="91"/>
        <v>-6.25</v>
      </c>
      <c r="AA37" s="69">
        <v>0</v>
      </c>
      <c r="AB37" s="67">
        <f t="shared" si="92"/>
        <v>-6.25</v>
      </c>
      <c r="AC37" s="93">
        <v>1</v>
      </c>
      <c r="AD37" s="102">
        <f t="shared" si="93"/>
        <v>0</v>
      </c>
      <c r="AE37" s="102">
        <f t="shared" si="94"/>
        <v>0</v>
      </c>
      <c r="AF37" s="102">
        <f t="shared" si="95"/>
        <v>0.78539816339744828</v>
      </c>
      <c r="AG37" s="102">
        <f t="shared" si="96"/>
        <v>45</v>
      </c>
      <c r="AH37" s="92">
        <f t="shared" si="115"/>
        <v>3.5355340000000002</v>
      </c>
      <c r="AI37" s="67">
        <f t="shared" si="116"/>
        <v>3.5355340000000002</v>
      </c>
      <c r="AJ37" s="68">
        <f t="shared" si="97"/>
        <v>-2.1213199999999999</v>
      </c>
      <c r="AK37" s="69">
        <f t="shared" si="98"/>
        <v>2.1213199999999999</v>
      </c>
      <c r="AL37" s="67">
        <f t="shared" si="99"/>
        <v>2.828427</v>
      </c>
      <c r="AM37" s="67">
        <f t="shared" si="100"/>
        <v>2.828427</v>
      </c>
      <c r="AN37" s="68">
        <f t="shared" si="101"/>
        <v>4.4194170000000002</v>
      </c>
      <c r="AO37" s="69">
        <f t="shared" si="102"/>
        <v>4.4194170000000002</v>
      </c>
      <c r="AP37" s="67">
        <f t="shared" si="103"/>
        <v>3.7123110000000001</v>
      </c>
      <c r="AQ37" s="93">
        <f t="shared" si="104"/>
        <v>5.1265239999999999</v>
      </c>
      <c r="AR37" s="92">
        <f t="shared" si="105"/>
        <v>-3.5355340000000002</v>
      </c>
      <c r="AS37" s="67">
        <f t="shared" si="106"/>
        <v>-3.5355340000000002</v>
      </c>
      <c r="AT37" s="68">
        <f t="shared" si="107"/>
        <v>2.1213199999999999</v>
      </c>
      <c r="AU37" s="69">
        <f t="shared" si="108"/>
        <v>-2.1213199999999999</v>
      </c>
      <c r="AV37" s="67">
        <f t="shared" si="109"/>
        <v>-2.828427</v>
      </c>
      <c r="AW37" s="67">
        <f t="shared" si="110"/>
        <v>-2.828427</v>
      </c>
      <c r="AX37" s="68">
        <f t="shared" si="111"/>
        <v>-4.4194170000000002</v>
      </c>
      <c r="AY37" s="69">
        <f t="shared" si="112"/>
        <v>-4.4194170000000002</v>
      </c>
      <c r="AZ37" s="67">
        <f t="shared" si="113"/>
        <v>-5.1265239999999999</v>
      </c>
      <c r="BA37" s="93">
        <f t="shared" si="114"/>
        <v>-3.7123110000000001</v>
      </c>
      <c r="BC37" s="21" t="s">
        <v>495</v>
      </c>
    </row>
    <row r="38" spans="1:55" s="16" customFormat="1" x14ac:dyDescent="0.3">
      <c r="A38" s="40">
        <v>0</v>
      </c>
      <c r="B38" s="40">
        <v>0</v>
      </c>
      <c r="C38" s="40">
        <f>-PI()/4</f>
        <v>-0.78539816339744828</v>
      </c>
      <c r="D38" s="40">
        <v>5</v>
      </c>
      <c r="E38" s="40">
        <v>3</v>
      </c>
      <c r="F38" s="16">
        <f t="shared" si="79"/>
        <v>4</v>
      </c>
      <c r="G38" s="16">
        <f t="shared" si="80"/>
        <v>6.25</v>
      </c>
      <c r="H38" s="16">
        <f t="shared" si="81"/>
        <v>3</v>
      </c>
      <c r="I38" s="16">
        <f t="shared" si="82"/>
        <v>0.8</v>
      </c>
      <c r="J38" s="92">
        <f t="shared" si="83"/>
        <v>5</v>
      </c>
      <c r="K38" s="67">
        <v>0</v>
      </c>
      <c r="L38" s="68">
        <v>0</v>
      </c>
      <c r="M38" s="69">
        <f t="shared" si="84"/>
        <v>3</v>
      </c>
      <c r="N38" s="67">
        <f t="shared" si="85"/>
        <v>4</v>
      </c>
      <c r="O38" s="67">
        <v>0</v>
      </c>
      <c r="P38" s="68">
        <f t="shared" si="86"/>
        <v>6.25</v>
      </c>
      <c r="Q38" s="69">
        <v>0</v>
      </c>
      <c r="R38" s="67">
        <f t="shared" si="87"/>
        <v>6.25</v>
      </c>
      <c r="S38" s="93">
        <v>1</v>
      </c>
      <c r="T38" s="92">
        <f t="shared" si="88"/>
        <v>-5</v>
      </c>
      <c r="U38" s="67">
        <v>0</v>
      </c>
      <c r="V38" s="68">
        <v>0</v>
      </c>
      <c r="W38" s="69">
        <f t="shared" si="89"/>
        <v>-3</v>
      </c>
      <c r="X38" s="67">
        <f t="shared" si="90"/>
        <v>-4</v>
      </c>
      <c r="Y38" s="67">
        <v>0</v>
      </c>
      <c r="Z38" s="68">
        <f t="shared" si="91"/>
        <v>-6.25</v>
      </c>
      <c r="AA38" s="69">
        <v>0</v>
      </c>
      <c r="AB38" s="67">
        <f t="shared" si="92"/>
        <v>-6.25</v>
      </c>
      <c r="AC38" s="93">
        <v>1</v>
      </c>
      <c r="AD38" s="102">
        <f t="shared" si="93"/>
        <v>0</v>
      </c>
      <c r="AE38" s="102">
        <f t="shared" si="94"/>
        <v>0</v>
      </c>
      <c r="AF38" s="102">
        <f t="shared" si="95"/>
        <v>-0.78539816339744828</v>
      </c>
      <c r="AG38" s="102">
        <f t="shared" si="96"/>
        <v>-45</v>
      </c>
      <c r="AH38" s="92">
        <f>ROUND(J38*COS($AF38)-K38*SIN($AF38)+$AD38,6)</f>
        <v>3.5355340000000002</v>
      </c>
      <c r="AI38" s="67">
        <f>ROUND(J38*SIN($AF38)+K38*COS($AF38)+$AE38,6)</f>
        <v>-3.5355340000000002</v>
      </c>
      <c r="AJ38" s="68">
        <f>ROUND(L38*COS($AF38)-M38*SIN($AF38)+$AD38,6)</f>
        <v>2.1213199999999999</v>
      </c>
      <c r="AK38" s="69">
        <f>ROUND(L38*SIN($AF38)+M38*COS($AF38)+$AE38,6)</f>
        <v>2.1213199999999999</v>
      </c>
      <c r="AL38" s="67">
        <f>ROUND(N38*COS($AF38)-O38*SIN($AF38)+$AD38,6)</f>
        <v>2.828427</v>
      </c>
      <c r="AM38" s="67">
        <f>ROUND(N38*SIN($AF38)+O38*COS($AF38)+$AE38,6)</f>
        <v>-2.828427</v>
      </c>
      <c r="AN38" s="68">
        <f>ROUND(P38*COS($AF38)-Q38*SIN($AF38)+$AD38,6)</f>
        <v>4.4194170000000002</v>
      </c>
      <c r="AO38" s="69">
        <f>ROUND(P38*SIN($AF38)+Q38*COS($AF38)+$AE38,6)</f>
        <v>-4.4194170000000002</v>
      </c>
      <c r="AP38" s="67">
        <f>ROUND(R38*COS($AF38)-S38*SIN($AF38)+$AD38,6)</f>
        <v>5.1265239999999999</v>
      </c>
      <c r="AQ38" s="93">
        <f>ROUND(R38*SIN($AF38)+S38*COS($AF38)+$AE38,6)</f>
        <v>-3.7123110000000001</v>
      </c>
      <c r="AR38" s="92">
        <f>ROUND(T38*COS($AF38)-U38*SIN($AF38)+$AD38,6)</f>
        <v>-3.5355340000000002</v>
      </c>
      <c r="AS38" s="67">
        <f>ROUND(T38*SIN($AF38)+U38*COS($AF38)+$AE38,6)</f>
        <v>3.5355340000000002</v>
      </c>
      <c r="AT38" s="68">
        <f>ROUND(V38*COS($AF38)-W38*SIN($AF38)+$AD38,6)</f>
        <v>-2.1213199999999999</v>
      </c>
      <c r="AU38" s="69">
        <f>ROUND(V38*SIN($AF38)+W38*COS($AF38)+$AE38,6)</f>
        <v>-2.1213199999999999</v>
      </c>
      <c r="AV38" s="67">
        <f>ROUND(X38*COS($AF38)-Y38*SIN($AF38)+$AD38,6)</f>
        <v>-2.828427</v>
      </c>
      <c r="AW38" s="67">
        <f>ROUND(X38*SIN($AF38)+Y38*COS($AF38)+$AE38,6)</f>
        <v>2.828427</v>
      </c>
      <c r="AX38" s="68">
        <f>ROUND(Z38*COS($AF38)-AA38*SIN($AF38)+$AD38,6)</f>
        <v>-4.4194170000000002</v>
      </c>
      <c r="AY38" s="69">
        <f>ROUND(Z38*SIN($AF38)+AA38*COS($AF38)+$AE38,6)</f>
        <v>4.4194170000000002</v>
      </c>
      <c r="AZ38" s="67">
        <f>ROUND(AB38*COS($AF38)-AC38*SIN($AF38)+$AD38,6)</f>
        <v>-3.7123110000000001</v>
      </c>
      <c r="BA38" s="93">
        <f>ROUND(AB38*SIN($AF38)+AC38*COS($AF38)+$AE38,6)</f>
        <v>5.1265239999999999</v>
      </c>
      <c r="BC38" s="21" t="s">
        <v>498</v>
      </c>
    </row>
    <row r="39" spans="1:55" s="16" customFormat="1" x14ac:dyDescent="0.3">
      <c r="A39" s="40">
        <v>0</v>
      </c>
      <c r="B39" s="40">
        <v>0</v>
      </c>
      <c r="C39" s="40">
        <f>PI()/2</f>
        <v>1.5707963267948966</v>
      </c>
      <c r="D39" s="40">
        <v>5</v>
      </c>
      <c r="E39" s="40">
        <v>3</v>
      </c>
      <c r="F39" s="16">
        <f t="shared" si="79"/>
        <v>4</v>
      </c>
      <c r="G39" s="16">
        <f t="shared" si="80"/>
        <v>6.25</v>
      </c>
      <c r="H39" s="16">
        <f t="shared" si="81"/>
        <v>3</v>
      </c>
      <c r="I39" s="16">
        <f t="shared" si="82"/>
        <v>0.8</v>
      </c>
      <c r="J39" s="92">
        <f t="shared" si="83"/>
        <v>5</v>
      </c>
      <c r="K39" s="67">
        <v>0</v>
      </c>
      <c r="L39" s="68">
        <v>0</v>
      </c>
      <c r="M39" s="69">
        <f t="shared" si="84"/>
        <v>3</v>
      </c>
      <c r="N39" s="67">
        <f t="shared" si="85"/>
        <v>4</v>
      </c>
      <c r="O39" s="67">
        <v>0</v>
      </c>
      <c r="P39" s="68">
        <f t="shared" si="86"/>
        <v>6.25</v>
      </c>
      <c r="Q39" s="69">
        <v>0</v>
      </c>
      <c r="R39" s="67">
        <f t="shared" si="87"/>
        <v>6.25</v>
      </c>
      <c r="S39" s="93">
        <v>1</v>
      </c>
      <c r="T39" s="92">
        <f t="shared" si="88"/>
        <v>-5</v>
      </c>
      <c r="U39" s="67">
        <v>0</v>
      </c>
      <c r="V39" s="68">
        <v>0</v>
      </c>
      <c r="W39" s="69">
        <f t="shared" si="89"/>
        <v>-3</v>
      </c>
      <c r="X39" s="67">
        <f t="shared" si="90"/>
        <v>-4</v>
      </c>
      <c r="Y39" s="67">
        <v>0</v>
      </c>
      <c r="Z39" s="68">
        <f t="shared" si="91"/>
        <v>-6.25</v>
      </c>
      <c r="AA39" s="69">
        <v>0</v>
      </c>
      <c r="AB39" s="67">
        <f t="shared" si="92"/>
        <v>-6.25</v>
      </c>
      <c r="AC39" s="93">
        <v>1</v>
      </c>
      <c r="AD39" s="102">
        <f t="shared" si="93"/>
        <v>0</v>
      </c>
      <c r="AE39" s="102">
        <f t="shared" si="94"/>
        <v>0</v>
      </c>
      <c r="AF39" s="102">
        <f t="shared" si="95"/>
        <v>1.5707963267948966</v>
      </c>
      <c r="AG39" s="102">
        <f t="shared" si="96"/>
        <v>90</v>
      </c>
      <c r="AH39" s="92">
        <f t="shared" si="115"/>
        <v>0</v>
      </c>
      <c r="AI39" s="67">
        <f t="shared" si="116"/>
        <v>5</v>
      </c>
      <c r="AJ39" s="68">
        <f t="shared" si="97"/>
        <v>-3</v>
      </c>
      <c r="AK39" s="69">
        <f t="shared" si="98"/>
        <v>0</v>
      </c>
      <c r="AL39" s="67">
        <f t="shared" si="99"/>
        <v>0</v>
      </c>
      <c r="AM39" s="67">
        <f t="shared" si="100"/>
        <v>4</v>
      </c>
      <c r="AN39" s="68">
        <f t="shared" si="101"/>
        <v>0</v>
      </c>
      <c r="AO39" s="69">
        <f t="shared" si="102"/>
        <v>6.25</v>
      </c>
      <c r="AP39" s="67">
        <f t="shared" si="103"/>
        <v>-1</v>
      </c>
      <c r="AQ39" s="93">
        <f t="shared" si="104"/>
        <v>6.25</v>
      </c>
      <c r="AR39" s="92">
        <f t="shared" si="105"/>
        <v>0</v>
      </c>
      <c r="AS39" s="67">
        <f t="shared" si="106"/>
        <v>-5</v>
      </c>
      <c r="AT39" s="68">
        <f t="shared" si="107"/>
        <v>3</v>
      </c>
      <c r="AU39" s="69">
        <f t="shared" si="108"/>
        <v>0</v>
      </c>
      <c r="AV39" s="67">
        <f t="shared" si="109"/>
        <v>0</v>
      </c>
      <c r="AW39" s="67">
        <f t="shared" si="110"/>
        <v>-4</v>
      </c>
      <c r="AX39" s="68">
        <f t="shared" si="111"/>
        <v>0</v>
      </c>
      <c r="AY39" s="69">
        <f t="shared" si="112"/>
        <v>-6.25</v>
      </c>
      <c r="AZ39" s="67">
        <f t="shared" si="113"/>
        <v>-1</v>
      </c>
      <c r="BA39" s="93">
        <f t="shared" si="114"/>
        <v>-6.25</v>
      </c>
      <c r="BC39" s="21" t="s">
        <v>496</v>
      </c>
    </row>
    <row r="40" spans="1:55" s="16" customFormat="1" x14ac:dyDescent="0.3">
      <c r="A40" s="40">
        <v>0</v>
      </c>
      <c r="B40" s="40">
        <v>0</v>
      </c>
      <c r="C40" s="40">
        <f>-PI()/2</f>
        <v>-1.5707963267948966</v>
      </c>
      <c r="D40" s="40">
        <v>5</v>
      </c>
      <c r="E40" s="40">
        <v>3</v>
      </c>
      <c r="F40" s="16">
        <f t="shared" si="79"/>
        <v>4</v>
      </c>
      <c r="G40" s="16">
        <f t="shared" si="80"/>
        <v>6.25</v>
      </c>
      <c r="H40" s="16">
        <f t="shared" si="81"/>
        <v>3</v>
      </c>
      <c r="I40" s="16">
        <f t="shared" si="82"/>
        <v>0.8</v>
      </c>
      <c r="J40" s="92">
        <f t="shared" si="83"/>
        <v>5</v>
      </c>
      <c r="K40" s="67">
        <v>0</v>
      </c>
      <c r="L40" s="68">
        <v>0</v>
      </c>
      <c r="M40" s="69">
        <f t="shared" si="84"/>
        <v>3</v>
      </c>
      <c r="N40" s="67">
        <f t="shared" si="85"/>
        <v>4</v>
      </c>
      <c r="O40" s="67">
        <v>0</v>
      </c>
      <c r="P40" s="68">
        <f t="shared" si="86"/>
        <v>6.25</v>
      </c>
      <c r="Q40" s="69">
        <v>0</v>
      </c>
      <c r="R40" s="67">
        <f t="shared" si="87"/>
        <v>6.25</v>
      </c>
      <c r="S40" s="93">
        <v>1</v>
      </c>
      <c r="T40" s="92">
        <f t="shared" si="88"/>
        <v>-5</v>
      </c>
      <c r="U40" s="67">
        <v>0</v>
      </c>
      <c r="V40" s="68">
        <v>0</v>
      </c>
      <c r="W40" s="69">
        <f t="shared" si="89"/>
        <v>-3</v>
      </c>
      <c r="X40" s="67">
        <f t="shared" si="90"/>
        <v>-4</v>
      </c>
      <c r="Y40" s="67">
        <v>0</v>
      </c>
      <c r="Z40" s="68">
        <f t="shared" si="91"/>
        <v>-6.25</v>
      </c>
      <c r="AA40" s="69">
        <v>0</v>
      </c>
      <c r="AB40" s="67">
        <f t="shared" si="92"/>
        <v>-6.25</v>
      </c>
      <c r="AC40" s="93">
        <v>1</v>
      </c>
      <c r="AD40" s="102">
        <f t="shared" si="93"/>
        <v>0</v>
      </c>
      <c r="AE40" s="102">
        <f t="shared" si="94"/>
        <v>0</v>
      </c>
      <c r="AF40" s="102">
        <f t="shared" si="95"/>
        <v>-1.5707963267948966</v>
      </c>
      <c r="AG40" s="102">
        <f t="shared" si="96"/>
        <v>-90</v>
      </c>
      <c r="AH40" s="92">
        <f>ROUND(J40*COS($AF40)-K40*SIN($AF40)+$AD40,6)</f>
        <v>0</v>
      </c>
      <c r="AI40" s="67">
        <f>ROUND(J40*SIN($AF40)+K40*COS($AF40)+$AE40,6)</f>
        <v>-5</v>
      </c>
      <c r="AJ40" s="68">
        <f>ROUND(L40*COS($AF40)-M40*SIN($AF40)+$AD40,6)</f>
        <v>3</v>
      </c>
      <c r="AK40" s="69">
        <f>ROUND(L40*SIN($AF40)+M40*COS($AF40)+$AE40,6)</f>
        <v>0</v>
      </c>
      <c r="AL40" s="67">
        <f>ROUND(N40*COS($AF40)-O40*SIN($AF40)+$AD40,6)</f>
        <v>0</v>
      </c>
      <c r="AM40" s="67">
        <f>ROUND(N40*SIN($AF40)+O40*COS($AF40)+$AE40,6)</f>
        <v>-4</v>
      </c>
      <c r="AN40" s="68">
        <f>ROUND(P40*COS($AF40)-Q40*SIN($AF40)+$AD40,6)</f>
        <v>0</v>
      </c>
      <c r="AO40" s="69">
        <f>ROUND(P40*SIN($AF40)+Q40*COS($AF40)+$AE40,6)</f>
        <v>-6.25</v>
      </c>
      <c r="AP40" s="67">
        <f>ROUND(R40*COS($AF40)-S40*SIN($AF40)+$AD40,6)</f>
        <v>1</v>
      </c>
      <c r="AQ40" s="93">
        <f>ROUND(R40*SIN($AF40)+S40*COS($AF40)+$AE40,6)</f>
        <v>-6.25</v>
      </c>
      <c r="AR40" s="92">
        <f>ROUND(T40*COS($AF40)-U40*SIN($AF40)+$AD40,6)</f>
        <v>0</v>
      </c>
      <c r="AS40" s="67">
        <f>ROUND(T40*SIN($AF40)+U40*COS($AF40)+$AE40,6)</f>
        <v>5</v>
      </c>
      <c r="AT40" s="68">
        <f>ROUND(V40*COS($AF40)-W40*SIN($AF40)+$AD40,6)</f>
        <v>-3</v>
      </c>
      <c r="AU40" s="69">
        <f>ROUND(V40*SIN($AF40)+W40*COS($AF40)+$AE40,6)</f>
        <v>0</v>
      </c>
      <c r="AV40" s="67">
        <f>ROUND(X40*COS($AF40)-Y40*SIN($AF40)+$AD40,6)</f>
        <v>0</v>
      </c>
      <c r="AW40" s="67">
        <f>ROUND(X40*SIN($AF40)+Y40*COS($AF40)+$AE40,6)</f>
        <v>4</v>
      </c>
      <c r="AX40" s="68">
        <f>ROUND(Z40*COS($AF40)-AA40*SIN($AF40)+$AD40,6)</f>
        <v>0</v>
      </c>
      <c r="AY40" s="69">
        <f>ROUND(Z40*SIN($AF40)+AA40*COS($AF40)+$AE40,6)</f>
        <v>6.25</v>
      </c>
      <c r="AZ40" s="67">
        <f>ROUND(AB40*COS($AF40)-AC40*SIN($AF40)+$AD40,6)</f>
        <v>1</v>
      </c>
      <c r="BA40" s="93">
        <f>ROUND(AB40*SIN($AF40)+AC40*COS($AF40)+$AE40,6)</f>
        <v>6.25</v>
      </c>
      <c r="BC40" s="21" t="s">
        <v>499</v>
      </c>
    </row>
    <row r="41" spans="1:55" s="16" customFormat="1" x14ac:dyDescent="0.3">
      <c r="A41" s="40">
        <v>0</v>
      </c>
      <c r="B41" s="40">
        <v>0</v>
      </c>
      <c r="C41" s="40">
        <f>PI()</f>
        <v>3.1415926535897931</v>
      </c>
      <c r="D41" s="40">
        <v>5</v>
      </c>
      <c r="E41" s="40">
        <v>3</v>
      </c>
      <c r="F41" s="16">
        <f t="shared" si="79"/>
        <v>4</v>
      </c>
      <c r="G41" s="16">
        <f t="shared" si="80"/>
        <v>6.25</v>
      </c>
      <c r="H41" s="16">
        <f t="shared" si="81"/>
        <v>3</v>
      </c>
      <c r="I41" s="16">
        <f t="shared" si="82"/>
        <v>0.8</v>
      </c>
      <c r="J41" s="92">
        <f t="shared" si="83"/>
        <v>5</v>
      </c>
      <c r="K41" s="67">
        <v>0</v>
      </c>
      <c r="L41" s="68">
        <v>0</v>
      </c>
      <c r="M41" s="69">
        <f t="shared" si="84"/>
        <v>3</v>
      </c>
      <c r="N41" s="67">
        <f t="shared" si="85"/>
        <v>4</v>
      </c>
      <c r="O41" s="67">
        <v>0</v>
      </c>
      <c r="P41" s="68">
        <f t="shared" si="86"/>
        <v>6.25</v>
      </c>
      <c r="Q41" s="69">
        <v>0</v>
      </c>
      <c r="R41" s="67">
        <f t="shared" si="87"/>
        <v>6.25</v>
      </c>
      <c r="S41" s="93">
        <v>1</v>
      </c>
      <c r="T41" s="92">
        <f t="shared" si="88"/>
        <v>-5</v>
      </c>
      <c r="U41" s="67">
        <v>0</v>
      </c>
      <c r="V41" s="68">
        <v>0</v>
      </c>
      <c r="W41" s="69">
        <f t="shared" si="89"/>
        <v>-3</v>
      </c>
      <c r="X41" s="67">
        <f t="shared" si="90"/>
        <v>-4</v>
      </c>
      <c r="Y41" s="67">
        <v>0</v>
      </c>
      <c r="Z41" s="68">
        <f t="shared" si="91"/>
        <v>-6.25</v>
      </c>
      <c r="AA41" s="69">
        <v>0</v>
      </c>
      <c r="AB41" s="67">
        <f t="shared" si="92"/>
        <v>-6.25</v>
      </c>
      <c r="AC41" s="93">
        <v>1</v>
      </c>
      <c r="AD41" s="102">
        <f t="shared" si="93"/>
        <v>0</v>
      </c>
      <c r="AE41" s="102">
        <f t="shared" si="94"/>
        <v>0</v>
      </c>
      <c r="AF41" s="102">
        <f t="shared" si="95"/>
        <v>3.1415926535897931</v>
      </c>
      <c r="AG41" s="102">
        <f t="shared" si="96"/>
        <v>180</v>
      </c>
      <c r="AH41" s="92">
        <f t="shared" si="115"/>
        <v>-5</v>
      </c>
      <c r="AI41" s="67">
        <f t="shared" si="116"/>
        <v>0</v>
      </c>
      <c r="AJ41" s="68">
        <f t="shared" si="97"/>
        <v>0</v>
      </c>
      <c r="AK41" s="69">
        <f t="shared" si="98"/>
        <v>-3</v>
      </c>
      <c r="AL41" s="67">
        <f t="shared" si="99"/>
        <v>-4</v>
      </c>
      <c r="AM41" s="67">
        <f t="shared" si="100"/>
        <v>0</v>
      </c>
      <c r="AN41" s="68">
        <f t="shared" si="101"/>
        <v>-6.25</v>
      </c>
      <c r="AO41" s="69">
        <f t="shared" si="102"/>
        <v>0</v>
      </c>
      <c r="AP41" s="67">
        <f t="shared" si="103"/>
        <v>-6.25</v>
      </c>
      <c r="AQ41" s="93">
        <f t="shared" si="104"/>
        <v>-1</v>
      </c>
      <c r="AR41" s="92">
        <f t="shared" si="105"/>
        <v>5</v>
      </c>
      <c r="AS41" s="67">
        <f t="shared" si="106"/>
        <v>0</v>
      </c>
      <c r="AT41" s="68">
        <f t="shared" si="107"/>
        <v>0</v>
      </c>
      <c r="AU41" s="69">
        <f t="shared" si="108"/>
        <v>3</v>
      </c>
      <c r="AV41" s="67">
        <f t="shared" si="109"/>
        <v>4</v>
      </c>
      <c r="AW41" s="67">
        <f t="shared" si="110"/>
        <v>0</v>
      </c>
      <c r="AX41" s="68">
        <f t="shared" si="111"/>
        <v>6.25</v>
      </c>
      <c r="AY41" s="69">
        <f t="shared" si="112"/>
        <v>0</v>
      </c>
      <c r="AZ41" s="67">
        <f t="shared" si="113"/>
        <v>6.25</v>
      </c>
      <c r="BA41" s="93">
        <f t="shared" si="114"/>
        <v>-1</v>
      </c>
      <c r="BC41" s="21" t="s">
        <v>497</v>
      </c>
    </row>
    <row r="42" spans="1:55" s="16" customFormat="1" x14ac:dyDescent="0.3">
      <c r="A42" s="40">
        <v>0</v>
      </c>
      <c r="B42" s="40">
        <v>0</v>
      </c>
      <c r="C42" s="40">
        <f>-PI()</f>
        <v>-3.1415926535897931</v>
      </c>
      <c r="D42" s="40">
        <v>5</v>
      </c>
      <c r="E42" s="40">
        <v>3</v>
      </c>
      <c r="F42" s="16">
        <f t="shared" si="79"/>
        <v>4</v>
      </c>
      <c r="G42" s="16">
        <f t="shared" si="80"/>
        <v>6.25</v>
      </c>
      <c r="H42" s="16">
        <f t="shared" si="81"/>
        <v>3</v>
      </c>
      <c r="I42" s="16">
        <f t="shared" si="82"/>
        <v>0.8</v>
      </c>
      <c r="J42" s="92">
        <f t="shared" si="83"/>
        <v>5</v>
      </c>
      <c r="K42" s="67">
        <v>0</v>
      </c>
      <c r="L42" s="68">
        <v>0</v>
      </c>
      <c r="M42" s="69">
        <f t="shared" si="84"/>
        <v>3</v>
      </c>
      <c r="N42" s="67">
        <f t="shared" si="85"/>
        <v>4</v>
      </c>
      <c r="O42" s="67">
        <v>0</v>
      </c>
      <c r="P42" s="68">
        <f t="shared" si="86"/>
        <v>6.25</v>
      </c>
      <c r="Q42" s="69">
        <v>0</v>
      </c>
      <c r="R42" s="67">
        <f t="shared" si="87"/>
        <v>6.25</v>
      </c>
      <c r="S42" s="93">
        <v>1</v>
      </c>
      <c r="T42" s="92">
        <f t="shared" si="88"/>
        <v>-5</v>
      </c>
      <c r="U42" s="67">
        <v>0</v>
      </c>
      <c r="V42" s="68">
        <v>0</v>
      </c>
      <c r="W42" s="69">
        <f t="shared" si="89"/>
        <v>-3</v>
      </c>
      <c r="X42" s="67">
        <f t="shared" si="90"/>
        <v>-4</v>
      </c>
      <c r="Y42" s="67">
        <v>0</v>
      </c>
      <c r="Z42" s="68">
        <f t="shared" si="91"/>
        <v>-6.25</v>
      </c>
      <c r="AA42" s="69">
        <v>0</v>
      </c>
      <c r="AB42" s="67">
        <f t="shared" si="92"/>
        <v>-6.25</v>
      </c>
      <c r="AC42" s="93">
        <v>1</v>
      </c>
      <c r="AD42" s="102">
        <f t="shared" si="93"/>
        <v>0</v>
      </c>
      <c r="AE42" s="102">
        <f t="shared" si="94"/>
        <v>0</v>
      </c>
      <c r="AF42" s="102">
        <f t="shared" si="95"/>
        <v>-3.1415926535897931</v>
      </c>
      <c r="AG42" s="102">
        <f t="shared" si="96"/>
        <v>-180</v>
      </c>
      <c r="AH42" s="92">
        <f t="shared" ref="AH42" si="117">ROUND(J42*COS($AF42)-K42*SIN($AF42)+$AD42,6)</f>
        <v>-5</v>
      </c>
      <c r="AI42" s="67">
        <f t="shared" ref="AI42" si="118">ROUND(J42*SIN($AF42)+K42*COS($AF42)+$AE42,6)</f>
        <v>0</v>
      </c>
      <c r="AJ42" s="68">
        <f t="shared" ref="AJ42" si="119">ROUND(L42*COS($AF42)-M42*SIN($AF42)+$AD42,6)</f>
        <v>0</v>
      </c>
      <c r="AK42" s="69">
        <f t="shared" ref="AK42" si="120">ROUND(L42*SIN($AF42)+M42*COS($AF42)+$AE42,6)</f>
        <v>-3</v>
      </c>
      <c r="AL42" s="67">
        <f t="shared" ref="AL42" si="121">ROUND(N42*COS($AF42)-O42*SIN($AF42)+$AD42,6)</f>
        <v>-4</v>
      </c>
      <c r="AM42" s="67">
        <f t="shared" ref="AM42" si="122">ROUND(N42*SIN($AF42)+O42*COS($AF42)+$AE42,6)</f>
        <v>0</v>
      </c>
      <c r="AN42" s="68">
        <f t="shared" ref="AN42" si="123">ROUND(P42*COS($AF42)-Q42*SIN($AF42)+$AD42,6)</f>
        <v>-6.25</v>
      </c>
      <c r="AO42" s="69">
        <f t="shared" ref="AO42" si="124">ROUND(P42*SIN($AF42)+Q42*COS($AF42)+$AE42,6)</f>
        <v>0</v>
      </c>
      <c r="AP42" s="67">
        <f t="shared" ref="AP42" si="125">ROUND(R42*COS($AF42)-S42*SIN($AF42)+$AD42,6)</f>
        <v>-6.25</v>
      </c>
      <c r="AQ42" s="93">
        <f t="shared" ref="AQ42" si="126">ROUND(R42*SIN($AF42)+S42*COS($AF42)+$AE42,6)</f>
        <v>-1</v>
      </c>
      <c r="AR42" s="92">
        <f t="shared" ref="AR42" si="127">ROUND(T42*COS($AF42)-U42*SIN($AF42)+$AD42,6)</f>
        <v>5</v>
      </c>
      <c r="AS42" s="67">
        <f t="shared" ref="AS42" si="128">ROUND(T42*SIN($AF42)+U42*COS($AF42)+$AE42,6)</f>
        <v>0</v>
      </c>
      <c r="AT42" s="68">
        <f t="shared" ref="AT42" si="129">ROUND(V42*COS($AF42)-W42*SIN($AF42)+$AD42,6)</f>
        <v>0</v>
      </c>
      <c r="AU42" s="69">
        <f t="shared" ref="AU42" si="130">ROUND(V42*SIN($AF42)+W42*COS($AF42)+$AE42,6)</f>
        <v>3</v>
      </c>
      <c r="AV42" s="67">
        <f t="shared" ref="AV42" si="131">ROUND(X42*COS($AF42)-Y42*SIN($AF42)+$AD42,6)</f>
        <v>4</v>
      </c>
      <c r="AW42" s="67">
        <f t="shared" ref="AW42" si="132">ROUND(X42*SIN($AF42)+Y42*COS($AF42)+$AE42,6)</f>
        <v>0</v>
      </c>
      <c r="AX42" s="68">
        <f t="shared" ref="AX42" si="133">ROUND(Z42*COS($AF42)-AA42*SIN($AF42)+$AD42,6)</f>
        <v>6.25</v>
      </c>
      <c r="AY42" s="69">
        <f t="shared" ref="AY42" si="134">ROUND(Z42*SIN($AF42)+AA42*COS($AF42)+$AE42,6)</f>
        <v>0</v>
      </c>
      <c r="AZ42" s="67">
        <f t="shared" ref="AZ42" si="135">ROUND(AB42*COS($AF42)-AC42*SIN($AF42)+$AD42,6)</f>
        <v>6.25</v>
      </c>
      <c r="BA42" s="93">
        <f t="shared" ref="BA42" si="136">ROUND(AB42*SIN($AF42)+AC42*COS($AF42)+$AE42,6)</f>
        <v>-1</v>
      </c>
      <c r="BC42" s="21" t="s">
        <v>500</v>
      </c>
    </row>
    <row r="43" spans="1:55" s="16" customFormat="1" x14ac:dyDescent="0.3">
      <c r="A43" s="40">
        <v>4</v>
      </c>
      <c r="B43" s="40">
        <v>5</v>
      </c>
      <c r="C43" s="40">
        <f>PI()/4</f>
        <v>0.78539816339744828</v>
      </c>
      <c r="D43" s="40">
        <v>5</v>
      </c>
      <c r="E43" s="40">
        <v>3</v>
      </c>
      <c r="F43" s="16">
        <f t="shared" si="79"/>
        <v>4</v>
      </c>
      <c r="G43" s="16">
        <f t="shared" si="80"/>
        <v>6.25</v>
      </c>
      <c r="H43" s="16">
        <f t="shared" si="81"/>
        <v>3</v>
      </c>
      <c r="I43" s="16">
        <f t="shared" si="82"/>
        <v>0.8</v>
      </c>
      <c r="J43" s="92">
        <f t="shared" si="83"/>
        <v>5</v>
      </c>
      <c r="K43" s="67">
        <v>0</v>
      </c>
      <c r="L43" s="68">
        <v>0</v>
      </c>
      <c r="M43" s="69">
        <f t="shared" si="84"/>
        <v>3</v>
      </c>
      <c r="N43" s="67">
        <f t="shared" si="85"/>
        <v>4</v>
      </c>
      <c r="O43" s="67">
        <v>0</v>
      </c>
      <c r="P43" s="68">
        <f t="shared" si="86"/>
        <v>6.25</v>
      </c>
      <c r="Q43" s="69">
        <v>0</v>
      </c>
      <c r="R43" s="67">
        <f t="shared" si="87"/>
        <v>6.25</v>
      </c>
      <c r="S43" s="93">
        <v>1</v>
      </c>
      <c r="T43" s="92">
        <f t="shared" si="88"/>
        <v>-5</v>
      </c>
      <c r="U43" s="67">
        <v>0</v>
      </c>
      <c r="V43" s="68">
        <v>0</v>
      </c>
      <c r="W43" s="69">
        <f t="shared" si="89"/>
        <v>-3</v>
      </c>
      <c r="X43" s="67">
        <f t="shared" si="90"/>
        <v>-4</v>
      </c>
      <c r="Y43" s="67">
        <v>0</v>
      </c>
      <c r="Z43" s="68">
        <f t="shared" si="91"/>
        <v>-6.25</v>
      </c>
      <c r="AA43" s="69">
        <v>0</v>
      </c>
      <c r="AB43" s="67">
        <f t="shared" si="92"/>
        <v>-6.25</v>
      </c>
      <c r="AC43" s="93">
        <v>1</v>
      </c>
      <c r="AD43" s="102">
        <f t="shared" si="93"/>
        <v>4</v>
      </c>
      <c r="AE43" s="102">
        <f t="shared" si="94"/>
        <v>5</v>
      </c>
      <c r="AF43" s="102">
        <f t="shared" si="95"/>
        <v>0.78539816339744828</v>
      </c>
      <c r="AG43" s="102">
        <f t="shared" si="96"/>
        <v>45</v>
      </c>
      <c r="AH43" s="92">
        <f t="shared" ref="AH43" si="137">ROUND(J43*COS($AF43)-K43*SIN($AF43)+$AD43,6)</f>
        <v>7.5355340000000002</v>
      </c>
      <c r="AI43" s="67">
        <f t="shared" ref="AI43" si="138">ROUND(J43*SIN($AF43)+K43*COS($AF43)+$AE43,6)</f>
        <v>8.5355340000000002</v>
      </c>
      <c r="AJ43" s="68">
        <f t="shared" ref="AJ43" si="139">ROUND(L43*COS($AF43)-M43*SIN($AF43)+$AD43,6)</f>
        <v>1.8786799999999999</v>
      </c>
      <c r="AK43" s="69">
        <f t="shared" ref="AK43" si="140">ROUND(L43*SIN($AF43)+M43*COS($AF43)+$AE43,6)</f>
        <v>7.1213199999999999</v>
      </c>
      <c r="AL43" s="67">
        <f t="shared" ref="AL43" si="141">ROUND(N43*COS($AF43)-O43*SIN($AF43)+$AD43,6)</f>
        <v>6.8284269999999996</v>
      </c>
      <c r="AM43" s="67">
        <f t="shared" ref="AM43" si="142">ROUND(N43*SIN($AF43)+O43*COS($AF43)+$AE43,6)</f>
        <v>7.8284269999999996</v>
      </c>
      <c r="AN43" s="68">
        <f t="shared" ref="AN43" si="143">ROUND(P43*COS($AF43)-Q43*SIN($AF43)+$AD43,6)</f>
        <v>8.4194169999999993</v>
      </c>
      <c r="AO43" s="69">
        <f t="shared" ref="AO43" si="144">ROUND(P43*SIN($AF43)+Q43*COS($AF43)+$AE43,6)</f>
        <v>9.4194169999999993</v>
      </c>
      <c r="AP43" s="67">
        <f t="shared" ref="AP43" si="145">ROUND(R43*COS($AF43)-S43*SIN($AF43)+$AD43,6)</f>
        <v>7.7123109999999997</v>
      </c>
      <c r="AQ43" s="93">
        <f t="shared" ref="AQ43" si="146">ROUND(R43*SIN($AF43)+S43*COS($AF43)+$AE43,6)</f>
        <v>10.126524</v>
      </c>
      <c r="AR43" s="92">
        <f t="shared" ref="AR43" si="147">ROUND(T43*COS($AF43)-U43*SIN($AF43)+$AD43,6)</f>
        <v>0.46446599999999999</v>
      </c>
      <c r="AS43" s="67">
        <f t="shared" ref="AS43" si="148">ROUND(T43*SIN($AF43)+U43*COS($AF43)+$AE43,6)</f>
        <v>1.464466</v>
      </c>
      <c r="AT43" s="68">
        <f t="shared" ref="AT43" si="149">ROUND(V43*COS($AF43)-W43*SIN($AF43)+$AD43,6)</f>
        <v>6.1213199999999999</v>
      </c>
      <c r="AU43" s="69">
        <f t="shared" ref="AU43" si="150">ROUND(V43*SIN($AF43)+W43*COS($AF43)+$AE43,6)</f>
        <v>2.8786800000000001</v>
      </c>
      <c r="AV43" s="67">
        <f t="shared" ref="AV43" si="151">ROUND(X43*COS($AF43)-Y43*SIN($AF43)+$AD43,6)</f>
        <v>1.171573</v>
      </c>
      <c r="AW43" s="67">
        <f t="shared" ref="AW43" si="152">ROUND(X43*SIN($AF43)+Y43*COS($AF43)+$AE43,6)</f>
        <v>2.171573</v>
      </c>
      <c r="AX43" s="68">
        <f t="shared" ref="AX43" si="153">ROUND(Z43*COS($AF43)-AA43*SIN($AF43)+$AD43,6)</f>
        <v>-0.41941699999999998</v>
      </c>
      <c r="AY43" s="69">
        <f t="shared" ref="AY43" si="154">ROUND(Z43*SIN($AF43)+AA43*COS($AF43)+$AE43,6)</f>
        <v>0.58058299999999996</v>
      </c>
      <c r="AZ43" s="67">
        <f t="shared" ref="AZ43" si="155">ROUND(AB43*COS($AF43)-AC43*SIN($AF43)+$AD43,6)</f>
        <v>-1.1265240000000001</v>
      </c>
      <c r="BA43" s="93">
        <f t="shared" ref="BA43" si="156">ROUND(AB43*SIN($AF43)+AC43*COS($AF43)+$AE43,6)</f>
        <v>1.2876890000000001</v>
      </c>
      <c r="BC43" s="21" t="s">
        <v>501</v>
      </c>
    </row>
    <row r="44" spans="1:55" s="16" customFormat="1" x14ac:dyDescent="0.3">
      <c r="A44" s="40"/>
      <c r="B44" s="40"/>
      <c r="C44" s="40"/>
      <c r="D44" s="40"/>
      <c r="E44" s="40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/>
      <c r="AE44"/>
      <c r="AF44"/>
      <c r="AG44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C44" s="21"/>
    </row>
    <row r="45" spans="1:55" s="2" customFormat="1" x14ac:dyDescent="0.3">
      <c r="A45" s="2" t="s">
        <v>479</v>
      </c>
    </row>
    <row r="46" spans="1:55" x14ac:dyDescent="0.3">
      <c r="J46" s="127" t="s">
        <v>325</v>
      </c>
      <c r="K46" s="128"/>
      <c r="L46" s="128"/>
      <c r="M46" s="128"/>
      <c r="N46" s="128"/>
      <c r="O46" s="128"/>
      <c r="P46" s="128"/>
      <c r="Q46" s="128"/>
      <c r="R46" s="128"/>
      <c r="S46" s="129"/>
      <c r="T46" s="127" t="s">
        <v>326</v>
      </c>
      <c r="U46" s="128"/>
      <c r="V46" s="128"/>
      <c r="W46" s="128"/>
      <c r="X46" s="128"/>
      <c r="Y46" s="128"/>
      <c r="Z46" s="128"/>
      <c r="AA46" s="128"/>
      <c r="AB46" s="128"/>
      <c r="AC46" s="129"/>
      <c r="AH46" s="127" t="s">
        <v>488</v>
      </c>
      <c r="AI46" s="128"/>
      <c r="AJ46" s="128"/>
      <c r="AK46" s="128"/>
      <c r="AL46" s="128"/>
      <c r="AM46" s="128"/>
      <c r="AN46" s="128"/>
      <c r="AO46" s="128"/>
      <c r="AP46" s="128"/>
      <c r="AQ46" s="129"/>
      <c r="AR46" s="127" t="s">
        <v>489</v>
      </c>
      <c r="AS46" s="128"/>
      <c r="AT46" s="128"/>
      <c r="AU46" s="128"/>
      <c r="AV46" s="128"/>
      <c r="AW46" s="128"/>
      <c r="AX46" s="128"/>
      <c r="AY46" s="128"/>
      <c r="AZ46" s="128"/>
      <c r="BA46" s="129"/>
    </row>
    <row r="47" spans="1:55" x14ac:dyDescent="0.3">
      <c r="A47" s="119" t="s">
        <v>482</v>
      </c>
      <c r="B47" s="119"/>
      <c r="C47" t="s">
        <v>414</v>
      </c>
      <c r="J47" s="126" t="s">
        <v>481</v>
      </c>
      <c r="K47" s="124"/>
      <c r="L47" s="122" t="s">
        <v>485</v>
      </c>
      <c r="M47" s="123"/>
      <c r="N47" s="124" t="s">
        <v>256</v>
      </c>
      <c r="O47" s="124"/>
      <c r="P47" s="122" t="s">
        <v>486</v>
      </c>
      <c r="Q47" s="123"/>
      <c r="R47" s="124" t="s">
        <v>487</v>
      </c>
      <c r="S47" s="125"/>
      <c r="T47" s="126" t="s">
        <v>481</v>
      </c>
      <c r="U47" s="124"/>
      <c r="V47" s="122" t="s">
        <v>485</v>
      </c>
      <c r="W47" s="123"/>
      <c r="X47" s="124" t="s">
        <v>256</v>
      </c>
      <c r="Y47" s="124"/>
      <c r="Z47" s="122" t="s">
        <v>486</v>
      </c>
      <c r="AA47" s="123"/>
      <c r="AB47" s="124" t="s">
        <v>487</v>
      </c>
      <c r="AC47" s="125"/>
      <c r="AD47" s="121" t="s">
        <v>441</v>
      </c>
      <c r="AE47" s="121"/>
      <c r="AF47" s="121"/>
      <c r="AG47" s="121"/>
      <c r="AH47" s="126" t="s">
        <v>481</v>
      </c>
      <c r="AI47" s="124"/>
      <c r="AJ47" s="122" t="s">
        <v>485</v>
      </c>
      <c r="AK47" s="123"/>
      <c r="AL47" s="124" t="s">
        <v>256</v>
      </c>
      <c r="AM47" s="124"/>
      <c r="AN47" s="122" t="s">
        <v>486</v>
      </c>
      <c r="AO47" s="123"/>
      <c r="AP47" s="124" t="s">
        <v>487</v>
      </c>
      <c r="AQ47" s="125"/>
      <c r="AR47" s="126" t="s">
        <v>481</v>
      </c>
      <c r="AS47" s="124"/>
      <c r="AT47" s="122" t="s">
        <v>485</v>
      </c>
      <c r="AU47" s="123"/>
      <c r="AV47" s="124" t="s">
        <v>256</v>
      </c>
      <c r="AW47" s="124"/>
      <c r="AX47" s="122" t="s">
        <v>486</v>
      </c>
      <c r="AY47" s="123"/>
      <c r="AZ47" s="124" t="s">
        <v>487</v>
      </c>
      <c r="BA47" s="125"/>
    </row>
    <row r="48" spans="1:55" ht="15" thickBot="1" x14ac:dyDescent="0.35">
      <c r="A48" t="s">
        <v>22</v>
      </c>
      <c r="B48" t="s">
        <v>23</v>
      </c>
      <c r="C48" t="s">
        <v>483</v>
      </c>
      <c r="D48" t="s">
        <v>153</v>
      </c>
      <c r="E48" t="s">
        <v>154</v>
      </c>
      <c r="F48" t="s">
        <v>155</v>
      </c>
      <c r="G48" t="s">
        <v>245</v>
      </c>
      <c r="H48" t="s">
        <v>243</v>
      </c>
      <c r="I48" t="s">
        <v>246</v>
      </c>
      <c r="J48" s="90" t="s">
        <v>22</v>
      </c>
      <c r="K48" s="16" t="s">
        <v>23</v>
      </c>
      <c r="L48" s="15" t="s">
        <v>22</v>
      </c>
      <c r="M48" s="19" t="s">
        <v>23</v>
      </c>
      <c r="N48" s="16" t="s">
        <v>22</v>
      </c>
      <c r="O48" s="16" t="s">
        <v>23</v>
      </c>
      <c r="P48" s="15" t="s">
        <v>22</v>
      </c>
      <c r="Q48" s="19" t="s">
        <v>23</v>
      </c>
      <c r="R48" s="16" t="s">
        <v>22</v>
      </c>
      <c r="S48" s="91" t="s">
        <v>23</v>
      </c>
      <c r="T48" s="90" t="s">
        <v>22</v>
      </c>
      <c r="U48" s="16" t="s">
        <v>23</v>
      </c>
      <c r="V48" s="15" t="s">
        <v>22</v>
      </c>
      <c r="W48" s="19" t="s">
        <v>23</v>
      </c>
      <c r="X48" s="16" t="s">
        <v>22</v>
      </c>
      <c r="Y48" s="16" t="s">
        <v>23</v>
      </c>
      <c r="Z48" s="15" t="s">
        <v>22</v>
      </c>
      <c r="AA48" s="19" t="s">
        <v>23</v>
      </c>
      <c r="AB48" s="16" t="s">
        <v>22</v>
      </c>
      <c r="AC48" s="91" t="s">
        <v>23</v>
      </c>
      <c r="AD48" s="6" t="s">
        <v>22</v>
      </c>
      <c r="AE48" s="6" t="s">
        <v>23</v>
      </c>
      <c r="AF48" s="6" t="s">
        <v>442</v>
      </c>
      <c r="AG48" s="6" t="s">
        <v>443</v>
      </c>
      <c r="AH48" s="90" t="s">
        <v>22</v>
      </c>
      <c r="AI48" s="16" t="s">
        <v>23</v>
      </c>
      <c r="AJ48" s="15" t="s">
        <v>22</v>
      </c>
      <c r="AK48" s="19" t="s">
        <v>23</v>
      </c>
      <c r="AL48" s="16" t="s">
        <v>22</v>
      </c>
      <c r="AM48" s="16" t="s">
        <v>23</v>
      </c>
      <c r="AN48" s="15" t="s">
        <v>22</v>
      </c>
      <c r="AO48" s="19" t="s">
        <v>23</v>
      </c>
      <c r="AP48" s="16" t="s">
        <v>22</v>
      </c>
      <c r="AQ48" s="91" t="s">
        <v>23</v>
      </c>
      <c r="AR48" s="90" t="s">
        <v>22</v>
      </c>
      <c r="AS48" s="16" t="s">
        <v>23</v>
      </c>
      <c r="AT48" s="15" t="s">
        <v>22</v>
      </c>
      <c r="AU48" s="19" t="s">
        <v>23</v>
      </c>
      <c r="AV48" s="16" t="s">
        <v>22</v>
      </c>
      <c r="AW48" s="16" t="s">
        <v>23</v>
      </c>
      <c r="AX48" s="15" t="s">
        <v>22</v>
      </c>
      <c r="AY48" s="19" t="s">
        <v>23</v>
      </c>
      <c r="AZ48" s="16" t="s">
        <v>22</v>
      </c>
      <c r="BA48" s="91" t="s">
        <v>23</v>
      </c>
    </row>
    <row r="49" spans="1:55" ht="15" thickTop="1" x14ac:dyDescent="0.3">
      <c r="A49" s="94">
        <v>0</v>
      </c>
      <c r="B49" s="94">
        <v>0</v>
      </c>
      <c r="C49" s="94">
        <v>0</v>
      </c>
      <c r="D49" s="94">
        <v>5</v>
      </c>
      <c r="E49" s="104">
        <f>2*D49</f>
        <v>10</v>
      </c>
      <c r="F49" s="95">
        <f>D49</f>
        <v>5</v>
      </c>
      <c r="G49" s="95">
        <f>-D49</f>
        <v>-5</v>
      </c>
      <c r="H49" s="95">
        <f>2*D49</f>
        <v>10</v>
      </c>
      <c r="I49" s="95">
        <f>F49/D49</f>
        <v>1</v>
      </c>
      <c r="J49" s="97">
        <f t="shared" ref="J49:J60" si="157">$D49</f>
        <v>5</v>
      </c>
      <c r="K49" s="98">
        <v>0</v>
      </c>
      <c r="L49" s="100">
        <v>0</v>
      </c>
      <c r="M49" s="101">
        <f t="shared" ref="M49:M60" si="158">$E49</f>
        <v>10</v>
      </c>
      <c r="N49" s="98">
        <f t="shared" ref="N49:N60" si="159">$F49</f>
        <v>5</v>
      </c>
      <c r="O49" s="98">
        <v>0</v>
      </c>
      <c r="P49" s="100">
        <f t="shared" ref="P49:P60" si="160">$G49</f>
        <v>-5</v>
      </c>
      <c r="Q49" s="101">
        <v>0</v>
      </c>
      <c r="R49" s="98">
        <f t="shared" ref="R49:R60" si="161">$G49</f>
        <v>-5</v>
      </c>
      <c r="S49" s="99">
        <v>1</v>
      </c>
      <c r="T49" s="97">
        <f t="shared" ref="T49:T60" si="162">-$D49</f>
        <v>-5</v>
      </c>
      <c r="U49" s="98">
        <v>0</v>
      </c>
      <c r="V49" s="100">
        <v>0</v>
      </c>
      <c r="W49" s="101">
        <f t="shared" ref="W49:W60" si="163">-$E49</f>
        <v>-10</v>
      </c>
      <c r="X49" s="98">
        <f t="shared" ref="X49:X60" si="164">-$F49</f>
        <v>-5</v>
      </c>
      <c r="Y49" s="98">
        <v>0</v>
      </c>
      <c r="Z49" s="100">
        <f t="shared" ref="Z49:Z60" si="165">-$G49</f>
        <v>5</v>
      </c>
      <c r="AA49" s="101">
        <v>0</v>
      </c>
      <c r="AB49" s="98">
        <f t="shared" ref="AB49:AB60" si="166">-$G49</f>
        <v>5</v>
      </c>
      <c r="AC49" s="99">
        <v>1</v>
      </c>
      <c r="AD49" s="96">
        <f t="shared" ref="AD49:AD60" si="167">A49</f>
        <v>0</v>
      </c>
      <c r="AE49" s="96">
        <f t="shared" ref="AE49:AE60" si="168">B49</f>
        <v>0</v>
      </c>
      <c r="AF49" s="96">
        <f t="shared" ref="AF49:AF60" si="169">C49</f>
        <v>0</v>
      </c>
      <c r="AG49" s="96">
        <f t="shared" ref="AG49:AG60" si="170">DEGREES(AF49)</f>
        <v>0</v>
      </c>
      <c r="AH49" s="97">
        <f>ROUND(J49*COS($AF49)-K49*SIN($AF49)+$AD49,6)</f>
        <v>5</v>
      </c>
      <c r="AI49" s="98">
        <f>ROUND(J49*SIN($AF49)+K49*COS($AF49)+$AE49,6)</f>
        <v>0</v>
      </c>
      <c r="AJ49" s="100">
        <f t="shared" ref="AJ49:AJ54" si="171">ROUND(L49*COS($AF49)-M49*SIN($AF49)+$AD49,6)</f>
        <v>0</v>
      </c>
      <c r="AK49" s="101">
        <f t="shared" ref="AK49:AK54" si="172">ROUND(L49*SIN($AF49)+M49*COS($AF49)+$AE49,6)</f>
        <v>10</v>
      </c>
      <c r="AL49" s="98">
        <f t="shared" ref="AL49:AL54" si="173">ROUND(N49*COS($AF49)-O49*SIN($AF49)+$AD49,6)</f>
        <v>5</v>
      </c>
      <c r="AM49" s="98">
        <f t="shared" ref="AM49:AM54" si="174">ROUND(N49*SIN($AF49)+O49*COS($AF49)+$AE49,6)</f>
        <v>0</v>
      </c>
      <c r="AN49" s="100">
        <f t="shared" ref="AN49:AN54" si="175">ROUND(P49*COS($AF49)-Q49*SIN($AF49)+$AD49,6)</f>
        <v>-5</v>
      </c>
      <c r="AO49" s="101">
        <f t="shared" ref="AO49:AO54" si="176">ROUND(P49*SIN($AF49)+Q49*COS($AF49)+$AE49,6)</f>
        <v>0</v>
      </c>
      <c r="AP49" s="98">
        <f t="shared" ref="AP49:AP54" si="177">ROUND(R49*COS($AF49)-S49*SIN($AF49)+$AD49,6)</f>
        <v>-5</v>
      </c>
      <c r="AQ49" s="99">
        <f t="shared" ref="AQ49:AQ54" si="178">ROUND(R49*SIN($AF49)+S49*COS($AF49)+$AE49,6)</f>
        <v>1</v>
      </c>
      <c r="AR49" s="97">
        <f t="shared" ref="AR49:AR54" si="179">ROUND(T49*COS($AF49)-U49*SIN($AF49)+$AD49,6)</f>
        <v>-5</v>
      </c>
      <c r="AS49" s="98">
        <f t="shared" ref="AS49:AS54" si="180">ROUND(T49*SIN($AF49)+U49*COS($AF49)+$AE49,6)</f>
        <v>0</v>
      </c>
      <c r="AT49" s="100">
        <f t="shared" ref="AT49:AT54" si="181">ROUND(V49*COS($AF49)-W49*SIN($AF49)+$AD49,6)</f>
        <v>0</v>
      </c>
      <c r="AU49" s="101">
        <f t="shared" ref="AU49:AU54" si="182">ROUND(V49*SIN($AF49)+W49*COS($AF49)+$AE49,6)</f>
        <v>-10</v>
      </c>
      <c r="AV49" s="98">
        <f t="shared" ref="AV49:AV54" si="183">ROUND(X49*COS($AF49)-Y49*SIN($AF49)+$AD49,6)</f>
        <v>-5</v>
      </c>
      <c r="AW49" s="98">
        <f t="shared" ref="AW49:AW54" si="184">ROUND(X49*SIN($AF49)+Y49*COS($AF49)+$AE49,6)</f>
        <v>0</v>
      </c>
      <c r="AX49" s="100">
        <f t="shared" ref="AX49:AX54" si="185">ROUND(Z49*COS($AF49)-AA49*SIN($AF49)+$AD49,6)</f>
        <v>5</v>
      </c>
      <c r="AY49" s="101">
        <f t="shared" ref="AY49:AY54" si="186">ROUND(Z49*SIN($AF49)+AA49*COS($AF49)+$AE49,6)</f>
        <v>0</v>
      </c>
      <c r="AZ49" s="98">
        <f t="shared" ref="AZ49:AZ54" si="187">ROUND(AB49*COS($AF49)-AC49*SIN($AF49)+$AD49,6)</f>
        <v>5</v>
      </c>
      <c r="BA49" s="99">
        <f t="shared" ref="BA49:BA54" si="188">ROUND(AB49*SIN($AF49)+AC49*COS($AF49)+$AE49,6)</f>
        <v>1</v>
      </c>
      <c r="BC49" t="s">
        <v>490</v>
      </c>
    </row>
    <row r="50" spans="1:55" s="16" customFormat="1" x14ac:dyDescent="0.3">
      <c r="A50" s="40">
        <v>4</v>
      </c>
      <c r="B50" s="40">
        <v>5</v>
      </c>
      <c r="C50" s="40">
        <v>0</v>
      </c>
      <c r="D50" s="40">
        <v>5</v>
      </c>
      <c r="E50" s="105">
        <f t="shared" ref="E50:E60" si="189">2*D50</f>
        <v>10</v>
      </c>
      <c r="F50" s="16">
        <f t="shared" ref="F50:F60" si="190">D50</f>
        <v>5</v>
      </c>
      <c r="G50" s="16">
        <f t="shared" ref="G50:G60" si="191">-D50</f>
        <v>-5</v>
      </c>
      <c r="H50" s="16">
        <f t="shared" ref="H50:H60" si="192">2*D50</f>
        <v>10</v>
      </c>
      <c r="I50" s="16">
        <f t="shared" ref="I50:I60" si="193">F50/D50</f>
        <v>1</v>
      </c>
      <c r="J50" s="92">
        <f t="shared" si="157"/>
        <v>5</v>
      </c>
      <c r="K50" s="67">
        <v>0</v>
      </c>
      <c r="L50" s="68">
        <v>0</v>
      </c>
      <c r="M50" s="69">
        <f t="shared" si="158"/>
        <v>10</v>
      </c>
      <c r="N50" s="67">
        <f t="shared" si="159"/>
        <v>5</v>
      </c>
      <c r="O50" s="67">
        <v>0</v>
      </c>
      <c r="P50" s="68">
        <f t="shared" si="160"/>
        <v>-5</v>
      </c>
      <c r="Q50" s="69">
        <v>0</v>
      </c>
      <c r="R50" s="67">
        <f t="shared" si="161"/>
        <v>-5</v>
      </c>
      <c r="S50" s="93">
        <v>1</v>
      </c>
      <c r="T50" s="92">
        <f t="shared" si="162"/>
        <v>-5</v>
      </c>
      <c r="U50" s="67">
        <v>0</v>
      </c>
      <c r="V50" s="68">
        <v>0</v>
      </c>
      <c r="W50" s="69">
        <f t="shared" si="163"/>
        <v>-10</v>
      </c>
      <c r="X50" s="67">
        <f t="shared" si="164"/>
        <v>-5</v>
      </c>
      <c r="Y50" s="67">
        <v>0</v>
      </c>
      <c r="Z50" s="68">
        <f t="shared" si="165"/>
        <v>5</v>
      </c>
      <c r="AA50" s="69">
        <v>0</v>
      </c>
      <c r="AB50" s="67">
        <f t="shared" si="166"/>
        <v>5</v>
      </c>
      <c r="AC50" s="93">
        <v>1</v>
      </c>
      <c r="AD50" s="102">
        <f t="shared" si="167"/>
        <v>4</v>
      </c>
      <c r="AE50" s="102">
        <f t="shared" si="168"/>
        <v>5</v>
      </c>
      <c r="AF50" s="102">
        <f t="shared" si="169"/>
        <v>0</v>
      </c>
      <c r="AG50" s="102">
        <f t="shared" si="170"/>
        <v>0</v>
      </c>
      <c r="AH50" s="92">
        <f t="shared" ref="AH50:AH54" si="194">ROUND(J50*COS($AF50)-K50*SIN($AF50)+$AD50,6)</f>
        <v>9</v>
      </c>
      <c r="AI50" s="67">
        <f t="shared" ref="AI50:AI54" si="195">ROUND(J50*SIN($AF50)+K50*COS($AF50)+$AE50,6)</f>
        <v>5</v>
      </c>
      <c r="AJ50" s="68">
        <f t="shared" si="171"/>
        <v>4</v>
      </c>
      <c r="AK50" s="69">
        <f t="shared" si="172"/>
        <v>15</v>
      </c>
      <c r="AL50" s="67">
        <f t="shared" si="173"/>
        <v>9</v>
      </c>
      <c r="AM50" s="67">
        <f t="shared" si="174"/>
        <v>5</v>
      </c>
      <c r="AN50" s="68">
        <f t="shared" si="175"/>
        <v>-1</v>
      </c>
      <c r="AO50" s="69">
        <f t="shared" si="176"/>
        <v>5</v>
      </c>
      <c r="AP50" s="67">
        <f t="shared" si="177"/>
        <v>-1</v>
      </c>
      <c r="AQ50" s="93">
        <f t="shared" si="178"/>
        <v>6</v>
      </c>
      <c r="AR50" s="92">
        <f t="shared" si="179"/>
        <v>-1</v>
      </c>
      <c r="AS50" s="67">
        <f t="shared" si="180"/>
        <v>5</v>
      </c>
      <c r="AT50" s="68">
        <f t="shared" si="181"/>
        <v>4</v>
      </c>
      <c r="AU50" s="69">
        <f t="shared" si="182"/>
        <v>-5</v>
      </c>
      <c r="AV50" s="67">
        <f t="shared" si="183"/>
        <v>-1</v>
      </c>
      <c r="AW50" s="67">
        <f t="shared" si="184"/>
        <v>5</v>
      </c>
      <c r="AX50" s="68">
        <f t="shared" si="185"/>
        <v>9</v>
      </c>
      <c r="AY50" s="69">
        <f t="shared" si="186"/>
        <v>5</v>
      </c>
      <c r="AZ50" s="67">
        <f t="shared" si="187"/>
        <v>9</v>
      </c>
      <c r="BA50" s="93">
        <f t="shared" si="188"/>
        <v>6</v>
      </c>
      <c r="BC50" s="16" t="s">
        <v>491</v>
      </c>
    </row>
    <row r="51" spans="1:55" s="16" customFormat="1" x14ac:dyDescent="0.3">
      <c r="A51" s="40">
        <v>-4</v>
      </c>
      <c r="B51" s="40">
        <v>5</v>
      </c>
      <c r="C51" s="40">
        <v>0</v>
      </c>
      <c r="D51" s="40">
        <v>5</v>
      </c>
      <c r="E51" s="105">
        <f t="shared" si="189"/>
        <v>10</v>
      </c>
      <c r="F51" s="16">
        <f t="shared" si="190"/>
        <v>5</v>
      </c>
      <c r="G51" s="16">
        <f t="shared" si="191"/>
        <v>-5</v>
      </c>
      <c r="H51" s="16">
        <f t="shared" si="192"/>
        <v>10</v>
      </c>
      <c r="I51" s="16">
        <f t="shared" si="193"/>
        <v>1</v>
      </c>
      <c r="J51" s="92">
        <f t="shared" si="157"/>
        <v>5</v>
      </c>
      <c r="K51" s="67">
        <v>0</v>
      </c>
      <c r="L51" s="68">
        <v>0</v>
      </c>
      <c r="M51" s="69">
        <f t="shared" si="158"/>
        <v>10</v>
      </c>
      <c r="N51" s="67">
        <f t="shared" si="159"/>
        <v>5</v>
      </c>
      <c r="O51" s="67">
        <v>0</v>
      </c>
      <c r="P51" s="68">
        <f t="shared" si="160"/>
        <v>-5</v>
      </c>
      <c r="Q51" s="69">
        <v>0</v>
      </c>
      <c r="R51" s="67">
        <f t="shared" si="161"/>
        <v>-5</v>
      </c>
      <c r="S51" s="93">
        <v>1</v>
      </c>
      <c r="T51" s="92">
        <f t="shared" si="162"/>
        <v>-5</v>
      </c>
      <c r="U51" s="67">
        <v>0</v>
      </c>
      <c r="V51" s="68">
        <v>0</v>
      </c>
      <c r="W51" s="69">
        <f t="shared" si="163"/>
        <v>-10</v>
      </c>
      <c r="X51" s="67">
        <f t="shared" si="164"/>
        <v>-5</v>
      </c>
      <c r="Y51" s="67">
        <v>0</v>
      </c>
      <c r="Z51" s="68">
        <f t="shared" si="165"/>
        <v>5</v>
      </c>
      <c r="AA51" s="69">
        <v>0</v>
      </c>
      <c r="AB51" s="67">
        <f t="shared" si="166"/>
        <v>5</v>
      </c>
      <c r="AC51" s="93">
        <v>1</v>
      </c>
      <c r="AD51" s="102">
        <f t="shared" si="167"/>
        <v>-4</v>
      </c>
      <c r="AE51" s="102">
        <f t="shared" si="168"/>
        <v>5</v>
      </c>
      <c r="AF51" s="102">
        <f t="shared" si="169"/>
        <v>0</v>
      </c>
      <c r="AG51" s="102">
        <f t="shared" si="170"/>
        <v>0</v>
      </c>
      <c r="AH51" s="92">
        <f t="shared" si="194"/>
        <v>1</v>
      </c>
      <c r="AI51" s="67">
        <f t="shared" si="195"/>
        <v>5</v>
      </c>
      <c r="AJ51" s="68">
        <f t="shared" si="171"/>
        <v>-4</v>
      </c>
      <c r="AK51" s="69">
        <f t="shared" si="172"/>
        <v>15</v>
      </c>
      <c r="AL51" s="67">
        <f t="shared" si="173"/>
        <v>1</v>
      </c>
      <c r="AM51" s="67">
        <f t="shared" si="174"/>
        <v>5</v>
      </c>
      <c r="AN51" s="68">
        <f t="shared" si="175"/>
        <v>-9</v>
      </c>
      <c r="AO51" s="69">
        <f t="shared" si="176"/>
        <v>5</v>
      </c>
      <c r="AP51" s="67">
        <f t="shared" si="177"/>
        <v>-9</v>
      </c>
      <c r="AQ51" s="93">
        <f t="shared" si="178"/>
        <v>6</v>
      </c>
      <c r="AR51" s="92">
        <f t="shared" si="179"/>
        <v>-9</v>
      </c>
      <c r="AS51" s="67">
        <f t="shared" si="180"/>
        <v>5</v>
      </c>
      <c r="AT51" s="68">
        <f t="shared" si="181"/>
        <v>-4</v>
      </c>
      <c r="AU51" s="69">
        <f t="shared" si="182"/>
        <v>-5</v>
      </c>
      <c r="AV51" s="67">
        <f t="shared" si="183"/>
        <v>-9</v>
      </c>
      <c r="AW51" s="67">
        <f t="shared" si="184"/>
        <v>5</v>
      </c>
      <c r="AX51" s="68">
        <f t="shared" si="185"/>
        <v>1</v>
      </c>
      <c r="AY51" s="69">
        <f t="shared" si="186"/>
        <v>5</v>
      </c>
      <c r="AZ51" s="67">
        <f t="shared" si="187"/>
        <v>1</v>
      </c>
      <c r="BA51" s="93">
        <f t="shared" si="188"/>
        <v>6</v>
      </c>
      <c r="BC51" s="16" t="s">
        <v>492</v>
      </c>
    </row>
    <row r="52" spans="1:55" s="16" customFormat="1" x14ac:dyDescent="0.3">
      <c r="A52" s="40">
        <v>-4</v>
      </c>
      <c r="B52" s="40">
        <v>-5</v>
      </c>
      <c r="C52" s="40">
        <v>0</v>
      </c>
      <c r="D52" s="40">
        <v>5</v>
      </c>
      <c r="E52" s="105">
        <f t="shared" si="189"/>
        <v>10</v>
      </c>
      <c r="F52" s="16">
        <f t="shared" si="190"/>
        <v>5</v>
      </c>
      <c r="G52" s="16">
        <f t="shared" si="191"/>
        <v>-5</v>
      </c>
      <c r="H52" s="16">
        <f t="shared" si="192"/>
        <v>10</v>
      </c>
      <c r="I52" s="16">
        <f t="shared" si="193"/>
        <v>1</v>
      </c>
      <c r="J52" s="92">
        <f t="shared" si="157"/>
        <v>5</v>
      </c>
      <c r="K52" s="67">
        <v>0</v>
      </c>
      <c r="L52" s="68">
        <v>0</v>
      </c>
      <c r="M52" s="69">
        <f t="shared" si="158"/>
        <v>10</v>
      </c>
      <c r="N52" s="67">
        <f t="shared" si="159"/>
        <v>5</v>
      </c>
      <c r="O52" s="67">
        <v>0</v>
      </c>
      <c r="P52" s="68">
        <f t="shared" si="160"/>
        <v>-5</v>
      </c>
      <c r="Q52" s="69">
        <v>0</v>
      </c>
      <c r="R52" s="67">
        <f t="shared" si="161"/>
        <v>-5</v>
      </c>
      <c r="S52" s="93">
        <v>1</v>
      </c>
      <c r="T52" s="92">
        <f t="shared" si="162"/>
        <v>-5</v>
      </c>
      <c r="U52" s="67">
        <v>0</v>
      </c>
      <c r="V52" s="68">
        <v>0</v>
      </c>
      <c r="W52" s="69">
        <f t="shared" si="163"/>
        <v>-10</v>
      </c>
      <c r="X52" s="67">
        <f t="shared" si="164"/>
        <v>-5</v>
      </c>
      <c r="Y52" s="67">
        <v>0</v>
      </c>
      <c r="Z52" s="68">
        <f t="shared" si="165"/>
        <v>5</v>
      </c>
      <c r="AA52" s="69">
        <v>0</v>
      </c>
      <c r="AB52" s="67">
        <f t="shared" si="166"/>
        <v>5</v>
      </c>
      <c r="AC52" s="93">
        <v>1</v>
      </c>
      <c r="AD52" s="102">
        <f t="shared" si="167"/>
        <v>-4</v>
      </c>
      <c r="AE52" s="102">
        <f t="shared" si="168"/>
        <v>-5</v>
      </c>
      <c r="AF52" s="102">
        <f t="shared" si="169"/>
        <v>0</v>
      </c>
      <c r="AG52" s="102">
        <f t="shared" si="170"/>
        <v>0</v>
      </c>
      <c r="AH52" s="92">
        <f t="shared" si="194"/>
        <v>1</v>
      </c>
      <c r="AI52" s="67">
        <f t="shared" si="195"/>
        <v>-5</v>
      </c>
      <c r="AJ52" s="68">
        <f t="shared" si="171"/>
        <v>-4</v>
      </c>
      <c r="AK52" s="69">
        <f t="shared" si="172"/>
        <v>5</v>
      </c>
      <c r="AL52" s="67">
        <f t="shared" si="173"/>
        <v>1</v>
      </c>
      <c r="AM52" s="67">
        <f t="shared" si="174"/>
        <v>-5</v>
      </c>
      <c r="AN52" s="68">
        <f t="shared" si="175"/>
        <v>-9</v>
      </c>
      <c r="AO52" s="69">
        <f t="shared" si="176"/>
        <v>-5</v>
      </c>
      <c r="AP52" s="67">
        <f t="shared" si="177"/>
        <v>-9</v>
      </c>
      <c r="AQ52" s="93">
        <f t="shared" si="178"/>
        <v>-4</v>
      </c>
      <c r="AR52" s="92">
        <f t="shared" si="179"/>
        <v>-9</v>
      </c>
      <c r="AS52" s="67">
        <f t="shared" si="180"/>
        <v>-5</v>
      </c>
      <c r="AT52" s="68">
        <f t="shared" si="181"/>
        <v>-4</v>
      </c>
      <c r="AU52" s="69">
        <f t="shared" si="182"/>
        <v>-15</v>
      </c>
      <c r="AV52" s="67">
        <f t="shared" si="183"/>
        <v>-9</v>
      </c>
      <c r="AW52" s="67">
        <f t="shared" si="184"/>
        <v>-5</v>
      </c>
      <c r="AX52" s="68">
        <f t="shared" si="185"/>
        <v>1</v>
      </c>
      <c r="AY52" s="69">
        <f t="shared" si="186"/>
        <v>-5</v>
      </c>
      <c r="AZ52" s="67">
        <f t="shared" si="187"/>
        <v>1</v>
      </c>
      <c r="BA52" s="93">
        <f t="shared" si="188"/>
        <v>-4</v>
      </c>
      <c r="BC52" s="16" t="s">
        <v>493</v>
      </c>
    </row>
    <row r="53" spans="1:55" s="16" customFormat="1" x14ac:dyDescent="0.3">
      <c r="A53" s="40">
        <v>4</v>
      </c>
      <c r="B53" s="40">
        <v>-5</v>
      </c>
      <c r="C53" s="40">
        <v>0</v>
      </c>
      <c r="D53" s="40">
        <v>5</v>
      </c>
      <c r="E53" s="105">
        <f t="shared" si="189"/>
        <v>10</v>
      </c>
      <c r="F53" s="16">
        <f t="shared" si="190"/>
        <v>5</v>
      </c>
      <c r="G53" s="16">
        <f t="shared" si="191"/>
        <v>-5</v>
      </c>
      <c r="H53" s="16">
        <f t="shared" si="192"/>
        <v>10</v>
      </c>
      <c r="I53" s="16">
        <f t="shared" si="193"/>
        <v>1</v>
      </c>
      <c r="J53" s="92">
        <f t="shared" si="157"/>
        <v>5</v>
      </c>
      <c r="K53" s="67">
        <v>0</v>
      </c>
      <c r="L53" s="68">
        <v>0</v>
      </c>
      <c r="M53" s="69">
        <f t="shared" si="158"/>
        <v>10</v>
      </c>
      <c r="N53" s="67">
        <f t="shared" si="159"/>
        <v>5</v>
      </c>
      <c r="O53" s="67">
        <v>0</v>
      </c>
      <c r="P53" s="68">
        <f t="shared" si="160"/>
        <v>-5</v>
      </c>
      <c r="Q53" s="69">
        <v>0</v>
      </c>
      <c r="R53" s="67">
        <f t="shared" si="161"/>
        <v>-5</v>
      </c>
      <c r="S53" s="93">
        <v>1</v>
      </c>
      <c r="T53" s="92">
        <f t="shared" si="162"/>
        <v>-5</v>
      </c>
      <c r="U53" s="67">
        <v>0</v>
      </c>
      <c r="V53" s="68">
        <v>0</v>
      </c>
      <c r="W53" s="69">
        <f t="shared" si="163"/>
        <v>-10</v>
      </c>
      <c r="X53" s="67">
        <f t="shared" si="164"/>
        <v>-5</v>
      </c>
      <c r="Y53" s="67">
        <v>0</v>
      </c>
      <c r="Z53" s="68">
        <f t="shared" si="165"/>
        <v>5</v>
      </c>
      <c r="AA53" s="69">
        <v>0</v>
      </c>
      <c r="AB53" s="67">
        <f t="shared" si="166"/>
        <v>5</v>
      </c>
      <c r="AC53" s="93">
        <v>1</v>
      </c>
      <c r="AD53" s="102">
        <f t="shared" si="167"/>
        <v>4</v>
      </c>
      <c r="AE53" s="102">
        <f t="shared" si="168"/>
        <v>-5</v>
      </c>
      <c r="AF53" s="102">
        <f t="shared" si="169"/>
        <v>0</v>
      </c>
      <c r="AG53" s="102">
        <f t="shared" si="170"/>
        <v>0</v>
      </c>
      <c r="AH53" s="92">
        <f t="shared" si="194"/>
        <v>9</v>
      </c>
      <c r="AI53" s="67">
        <f t="shared" si="195"/>
        <v>-5</v>
      </c>
      <c r="AJ53" s="68">
        <f t="shared" si="171"/>
        <v>4</v>
      </c>
      <c r="AK53" s="69">
        <f t="shared" si="172"/>
        <v>5</v>
      </c>
      <c r="AL53" s="67">
        <f t="shared" si="173"/>
        <v>9</v>
      </c>
      <c r="AM53" s="67">
        <f t="shared" si="174"/>
        <v>-5</v>
      </c>
      <c r="AN53" s="68">
        <f t="shared" si="175"/>
        <v>-1</v>
      </c>
      <c r="AO53" s="69">
        <f t="shared" si="176"/>
        <v>-5</v>
      </c>
      <c r="AP53" s="67">
        <f t="shared" si="177"/>
        <v>-1</v>
      </c>
      <c r="AQ53" s="93">
        <f t="shared" si="178"/>
        <v>-4</v>
      </c>
      <c r="AR53" s="92">
        <f t="shared" si="179"/>
        <v>-1</v>
      </c>
      <c r="AS53" s="67">
        <f t="shared" si="180"/>
        <v>-5</v>
      </c>
      <c r="AT53" s="68">
        <f t="shared" si="181"/>
        <v>4</v>
      </c>
      <c r="AU53" s="69">
        <f t="shared" si="182"/>
        <v>-15</v>
      </c>
      <c r="AV53" s="67">
        <f t="shared" si="183"/>
        <v>-1</v>
      </c>
      <c r="AW53" s="67">
        <f t="shared" si="184"/>
        <v>-5</v>
      </c>
      <c r="AX53" s="68">
        <f t="shared" si="185"/>
        <v>9</v>
      </c>
      <c r="AY53" s="69">
        <f t="shared" si="186"/>
        <v>-5</v>
      </c>
      <c r="AZ53" s="67">
        <f t="shared" si="187"/>
        <v>9</v>
      </c>
      <c r="BA53" s="93">
        <f t="shared" si="188"/>
        <v>-4</v>
      </c>
      <c r="BC53" s="16" t="s">
        <v>494</v>
      </c>
    </row>
    <row r="54" spans="1:55" s="16" customFormat="1" x14ac:dyDescent="0.3">
      <c r="A54" s="40">
        <v>0</v>
      </c>
      <c r="B54" s="40">
        <v>0</v>
      </c>
      <c r="C54" s="40">
        <f>PI()/4</f>
        <v>0.78539816339744828</v>
      </c>
      <c r="D54" s="40">
        <v>5</v>
      </c>
      <c r="E54" s="105">
        <f t="shared" si="189"/>
        <v>10</v>
      </c>
      <c r="F54" s="16">
        <f t="shared" si="190"/>
        <v>5</v>
      </c>
      <c r="G54" s="16">
        <f t="shared" si="191"/>
        <v>-5</v>
      </c>
      <c r="H54" s="16">
        <f t="shared" si="192"/>
        <v>10</v>
      </c>
      <c r="I54" s="16">
        <f t="shared" si="193"/>
        <v>1</v>
      </c>
      <c r="J54" s="92">
        <f t="shared" si="157"/>
        <v>5</v>
      </c>
      <c r="K54" s="67">
        <v>0</v>
      </c>
      <c r="L54" s="68">
        <v>0</v>
      </c>
      <c r="M54" s="69">
        <f t="shared" si="158"/>
        <v>10</v>
      </c>
      <c r="N54" s="67">
        <f t="shared" si="159"/>
        <v>5</v>
      </c>
      <c r="O54" s="67">
        <v>0</v>
      </c>
      <c r="P54" s="68">
        <f t="shared" si="160"/>
        <v>-5</v>
      </c>
      <c r="Q54" s="69">
        <v>0</v>
      </c>
      <c r="R54" s="67">
        <f t="shared" si="161"/>
        <v>-5</v>
      </c>
      <c r="S54" s="93">
        <v>1</v>
      </c>
      <c r="T54" s="92">
        <f t="shared" si="162"/>
        <v>-5</v>
      </c>
      <c r="U54" s="67">
        <v>0</v>
      </c>
      <c r="V54" s="68">
        <v>0</v>
      </c>
      <c r="W54" s="69">
        <f t="shared" si="163"/>
        <v>-10</v>
      </c>
      <c r="X54" s="67">
        <f t="shared" si="164"/>
        <v>-5</v>
      </c>
      <c r="Y54" s="67">
        <v>0</v>
      </c>
      <c r="Z54" s="68">
        <f t="shared" si="165"/>
        <v>5</v>
      </c>
      <c r="AA54" s="69">
        <v>0</v>
      </c>
      <c r="AB54" s="67">
        <f t="shared" si="166"/>
        <v>5</v>
      </c>
      <c r="AC54" s="93">
        <v>1</v>
      </c>
      <c r="AD54" s="102">
        <f t="shared" si="167"/>
        <v>0</v>
      </c>
      <c r="AE54" s="102">
        <f t="shared" si="168"/>
        <v>0</v>
      </c>
      <c r="AF54" s="102">
        <f t="shared" si="169"/>
        <v>0.78539816339744828</v>
      </c>
      <c r="AG54" s="102">
        <f t="shared" si="170"/>
        <v>45</v>
      </c>
      <c r="AH54" s="92">
        <f t="shared" si="194"/>
        <v>3.5355340000000002</v>
      </c>
      <c r="AI54" s="67">
        <f t="shared" si="195"/>
        <v>3.5355340000000002</v>
      </c>
      <c r="AJ54" s="68">
        <f t="shared" si="171"/>
        <v>-7.0710680000000004</v>
      </c>
      <c r="AK54" s="69">
        <f t="shared" si="172"/>
        <v>7.0710680000000004</v>
      </c>
      <c r="AL54" s="67">
        <f t="shared" si="173"/>
        <v>3.5355340000000002</v>
      </c>
      <c r="AM54" s="67">
        <f t="shared" si="174"/>
        <v>3.5355340000000002</v>
      </c>
      <c r="AN54" s="68">
        <f t="shared" si="175"/>
        <v>-3.5355340000000002</v>
      </c>
      <c r="AO54" s="69">
        <f t="shared" si="176"/>
        <v>-3.5355340000000002</v>
      </c>
      <c r="AP54" s="67">
        <f t="shared" si="177"/>
        <v>-4.2426409999999999</v>
      </c>
      <c r="AQ54" s="93">
        <f t="shared" si="178"/>
        <v>-2.828427</v>
      </c>
      <c r="AR54" s="92">
        <f t="shared" si="179"/>
        <v>-3.5355340000000002</v>
      </c>
      <c r="AS54" s="67">
        <f t="shared" si="180"/>
        <v>-3.5355340000000002</v>
      </c>
      <c r="AT54" s="68">
        <f t="shared" si="181"/>
        <v>7.0710680000000004</v>
      </c>
      <c r="AU54" s="69">
        <f t="shared" si="182"/>
        <v>-7.0710680000000004</v>
      </c>
      <c r="AV54" s="67">
        <f t="shared" si="183"/>
        <v>-3.5355340000000002</v>
      </c>
      <c r="AW54" s="67">
        <f t="shared" si="184"/>
        <v>-3.5355340000000002</v>
      </c>
      <c r="AX54" s="68">
        <f t="shared" si="185"/>
        <v>3.5355340000000002</v>
      </c>
      <c r="AY54" s="69">
        <f t="shared" si="186"/>
        <v>3.5355340000000002</v>
      </c>
      <c r="AZ54" s="67">
        <f t="shared" si="187"/>
        <v>2.828427</v>
      </c>
      <c r="BA54" s="93">
        <f t="shared" si="188"/>
        <v>4.2426409999999999</v>
      </c>
      <c r="BC54" s="21" t="s">
        <v>495</v>
      </c>
    </row>
    <row r="55" spans="1:55" s="16" customFormat="1" x14ac:dyDescent="0.3">
      <c r="A55" s="40">
        <v>0</v>
      </c>
      <c r="B55" s="40">
        <v>0</v>
      </c>
      <c r="C55" s="40">
        <f>-PI()/4</f>
        <v>-0.78539816339744828</v>
      </c>
      <c r="D55" s="40">
        <v>5</v>
      </c>
      <c r="E55" s="105">
        <f t="shared" si="189"/>
        <v>10</v>
      </c>
      <c r="F55" s="16">
        <f t="shared" si="190"/>
        <v>5</v>
      </c>
      <c r="G55" s="16">
        <f t="shared" si="191"/>
        <v>-5</v>
      </c>
      <c r="H55" s="16">
        <f t="shared" si="192"/>
        <v>10</v>
      </c>
      <c r="I55" s="16">
        <f t="shared" si="193"/>
        <v>1</v>
      </c>
      <c r="J55" s="92">
        <f t="shared" si="157"/>
        <v>5</v>
      </c>
      <c r="K55" s="67">
        <v>0</v>
      </c>
      <c r="L55" s="68">
        <v>0</v>
      </c>
      <c r="M55" s="69">
        <f t="shared" si="158"/>
        <v>10</v>
      </c>
      <c r="N55" s="67">
        <f t="shared" si="159"/>
        <v>5</v>
      </c>
      <c r="O55" s="67">
        <v>0</v>
      </c>
      <c r="P55" s="68">
        <f t="shared" si="160"/>
        <v>-5</v>
      </c>
      <c r="Q55" s="69">
        <v>0</v>
      </c>
      <c r="R55" s="67">
        <f t="shared" si="161"/>
        <v>-5</v>
      </c>
      <c r="S55" s="93">
        <v>1</v>
      </c>
      <c r="T55" s="92">
        <f t="shared" si="162"/>
        <v>-5</v>
      </c>
      <c r="U55" s="67">
        <v>0</v>
      </c>
      <c r="V55" s="68">
        <v>0</v>
      </c>
      <c r="W55" s="69">
        <f t="shared" si="163"/>
        <v>-10</v>
      </c>
      <c r="X55" s="67">
        <f t="shared" si="164"/>
        <v>-5</v>
      </c>
      <c r="Y55" s="67">
        <v>0</v>
      </c>
      <c r="Z55" s="68">
        <f t="shared" si="165"/>
        <v>5</v>
      </c>
      <c r="AA55" s="69">
        <v>0</v>
      </c>
      <c r="AB55" s="67">
        <f t="shared" si="166"/>
        <v>5</v>
      </c>
      <c r="AC55" s="93">
        <v>1</v>
      </c>
      <c r="AD55" s="102">
        <f t="shared" si="167"/>
        <v>0</v>
      </c>
      <c r="AE55" s="102">
        <f t="shared" si="168"/>
        <v>0</v>
      </c>
      <c r="AF55" s="102">
        <f t="shared" si="169"/>
        <v>-0.78539816339744828</v>
      </c>
      <c r="AG55" s="102">
        <f t="shared" si="170"/>
        <v>-45</v>
      </c>
      <c r="AH55" s="92">
        <f>ROUND(J55*COS($AF55)-K55*SIN($AF55)+$AD55,6)</f>
        <v>3.5355340000000002</v>
      </c>
      <c r="AI55" s="67">
        <f>ROUND(J55*SIN($AF55)+K55*COS($AF55)+$AE55,6)</f>
        <v>-3.5355340000000002</v>
      </c>
      <c r="AJ55" s="68">
        <f>ROUND(L55*COS($AF55)-M55*SIN($AF55)+$AD55,6)</f>
        <v>7.0710680000000004</v>
      </c>
      <c r="AK55" s="69">
        <f>ROUND(L55*SIN($AF55)+M55*COS($AF55)+$AE55,6)</f>
        <v>7.0710680000000004</v>
      </c>
      <c r="AL55" s="67">
        <f>ROUND(N55*COS($AF55)-O55*SIN($AF55)+$AD55,6)</f>
        <v>3.5355340000000002</v>
      </c>
      <c r="AM55" s="67">
        <f>ROUND(N55*SIN($AF55)+O55*COS($AF55)+$AE55,6)</f>
        <v>-3.5355340000000002</v>
      </c>
      <c r="AN55" s="68">
        <f>ROUND(P55*COS($AF55)-Q55*SIN($AF55)+$AD55,6)</f>
        <v>-3.5355340000000002</v>
      </c>
      <c r="AO55" s="69">
        <f>ROUND(P55*SIN($AF55)+Q55*COS($AF55)+$AE55,6)</f>
        <v>3.5355340000000002</v>
      </c>
      <c r="AP55" s="67">
        <f>ROUND(R55*COS($AF55)-S55*SIN($AF55)+$AD55,6)</f>
        <v>-2.828427</v>
      </c>
      <c r="AQ55" s="93">
        <f>ROUND(R55*SIN($AF55)+S55*COS($AF55)+$AE55,6)</f>
        <v>4.2426409999999999</v>
      </c>
      <c r="AR55" s="92">
        <f>ROUND(T55*COS($AF55)-U55*SIN($AF55)+$AD55,6)</f>
        <v>-3.5355340000000002</v>
      </c>
      <c r="AS55" s="67">
        <f>ROUND(T55*SIN($AF55)+U55*COS($AF55)+$AE55,6)</f>
        <v>3.5355340000000002</v>
      </c>
      <c r="AT55" s="68">
        <f>ROUND(V55*COS($AF55)-W55*SIN($AF55)+$AD55,6)</f>
        <v>-7.0710680000000004</v>
      </c>
      <c r="AU55" s="69">
        <f>ROUND(V55*SIN($AF55)+W55*COS($AF55)+$AE55,6)</f>
        <v>-7.0710680000000004</v>
      </c>
      <c r="AV55" s="67">
        <f>ROUND(X55*COS($AF55)-Y55*SIN($AF55)+$AD55,6)</f>
        <v>-3.5355340000000002</v>
      </c>
      <c r="AW55" s="67">
        <f>ROUND(X55*SIN($AF55)+Y55*COS($AF55)+$AE55,6)</f>
        <v>3.5355340000000002</v>
      </c>
      <c r="AX55" s="68">
        <f>ROUND(Z55*COS($AF55)-AA55*SIN($AF55)+$AD55,6)</f>
        <v>3.5355340000000002</v>
      </c>
      <c r="AY55" s="69">
        <f>ROUND(Z55*SIN($AF55)+AA55*COS($AF55)+$AE55,6)</f>
        <v>-3.5355340000000002</v>
      </c>
      <c r="AZ55" s="67">
        <f>ROUND(AB55*COS($AF55)-AC55*SIN($AF55)+$AD55,6)</f>
        <v>4.2426409999999999</v>
      </c>
      <c r="BA55" s="93">
        <f>ROUND(AB55*SIN($AF55)+AC55*COS($AF55)+$AE55,6)</f>
        <v>-2.828427</v>
      </c>
      <c r="BC55" s="21" t="s">
        <v>498</v>
      </c>
    </row>
    <row r="56" spans="1:55" s="16" customFormat="1" x14ac:dyDescent="0.3">
      <c r="A56" s="40">
        <v>0</v>
      </c>
      <c r="B56" s="40">
        <v>0</v>
      </c>
      <c r="C56" s="40">
        <f>PI()/2</f>
        <v>1.5707963267948966</v>
      </c>
      <c r="D56" s="40">
        <v>5</v>
      </c>
      <c r="E56" s="105">
        <f t="shared" si="189"/>
        <v>10</v>
      </c>
      <c r="F56" s="16">
        <f t="shared" si="190"/>
        <v>5</v>
      </c>
      <c r="G56" s="16">
        <f t="shared" si="191"/>
        <v>-5</v>
      </c>
      <c r="H56" s="16">
        <f t="shared" si="192"/>
        <v>10</v>
      </c>
      <c r="I56" s="16">
        <f t="shared" si="193"/>
        <v>1</v>
      </c>
      <c r="J56" s="92">
        <f t="shared" si="157"/>
        <v>5</v>
      </c>
      <c r="K56" s="67">
        <v>0</v>
      </c>
      <c r="L56" s="68">
        <v>0</v>
      </c>
      <c r="M56" s="69">
        <f t="shared" si="158"/>
        <v>10</v>
      </c>
      <c r="N56" s="67">
        <f t="shared" si="159"/>
        <v>5</v>
      </c>
      <c r="O56" s="67">
        <v>0</v>
      </c>
      <c r="P56" s="68">
        <f t="shared" si="160"/>
        <v>-5</v>
      </c>
      <c r="Q56" s="69">
        <v>0</v>
      </c>
      <c r="R56" s="67">
        <f t="shared" si="161"/>
        <v>-5</v>
      </c>
      <c r="S56" s="93">
        <v>1</v>
      </c>
      <c r="T56" s="92">
        <f t="shared" si="162"/>
        <v>-5</v>
      </c>
      <c r="U56" s="67">
        <v>0</v>
      </c>
      <c r="V56" s="68">
        <v>0</v>
      </c>
      <c r="W56" s="69">
        <f t="shared" si="163"/>
        <v>-10</v>
      </c>
      <c r="X56" s="67">
        <f t="shared" si="164"/>
        <v>-5</v>
      </c>
      <c r="Y56" s="67">
        <v>0</v>
      </c>
      <c r="Z56" s="68">
        <f t="shared" si="165"/>
        <v>5</v>
      </c>
      <c r="AA56" s="69">
        <v>0</v>
      </c>
      <c r="AB56" s="67">
        <f t="shared" si="166"/>
        <v>5</v>
      </c>
      <c r="AC56" s="93">
        <v>1</v>
      </c>
      <c r="AD56" s="102">
        <f t="shared" si="167"/>
        <v>0</v>
      </c>
      <c r="AE56" s="102">
        <f t="shared" si="168"/>
        <v>0</v>
      </c>
      <c r="AF56" s="102">
        <f t="shared" si="169"/>
        <v>1.5707963267948966</v>
      </c>
      <c r="AG56" s="102">
        <f t="shared" si="170"/>
        <v>90</v>
      </c>
      <c r="AH56" s="92">
        <f t="shared" ref="AH56" si="196">ROUND(J56*COS($AF56)-K56*SIN($AF56)+$AD56,6)</f>
        <v>0</v>
      </c>
      <c r="AI56" s="67">
        <f t="shared" ref="AI56" si="197">ROUND(J56*SIN($AF56)+K56*COS($AF56)+$AE56,6)</f>
        <v>5</v>
      </c>
      <c r="AJ56" s="68">
        <f t="shared" ref="AJ56" si="198">ROUND(L56*COS($AF56)-M56*SIN($AF56)+$AD56,6)</f>
        <v>-10</v>
      </c>
      <c r="AK56" s="69">
        <f t="shared" ref="AK56" si="199">ROUND(L56*SIN($AF56)+M56*COS($AF56)+$AE56,6)</f>
        <v>0</v>
      </c>
      <c r="AL56" s="67">
        <f t="shared" ref="AL56" si="200">ROUND(N56*COS($AF56)-O56*SIN($AF56)+$AD56,6)</f>
        <v>0</v>
      </c>
      <c r="AM56" s="67">
        <f t="shared" ref="AM56" si="201">ROUND(N56*SIN($AF56)+O56*COS($AF56)+$AE56,6)</f>
        <v>5</v>
      </c>
      <c r="AN56" s="68">
        <f t="shared" ref="AN56" si="202">ROUND(P56*COS($AF56)-Q56*SIN($AF56)+$AD56,6)</f>
        <v>0</v>
      </c>
      <c r="AO56" s="69">
        <f t="shared" ref="AO56" si="203">ROUND(P56*SIN($AF56)+Q56*COS($AF56)+$AE56,6)</f>
        <v>-5</v>
      </c>
      <c r="AP56" s="67">
        <f t="shared" ref="AP56" si="204">ROUND(R56*COS($AF56)-S56*SIN($AF56)+$AD56,6)</f>
        <v>-1</v>
      </c>
      <c r="AQ56" s="93">
        <f t="shared" ref="AQ56" si="205">ROUND(R56*SIN($AF56)+S56*COS($AF56)+$AE56,6)</f>
        <v>-5</v>
      </c>
      <c r="AR56" s="92">
        <f t="shared" ref="AR56" si="206">ROUND(T56*COS($AF56)-U56*SIN($AF56)+$AD56,6)</f>
        <v>0</v>
      </c>
      <c r="AS56" s="67">
        <f t="shared" ref="AS56" si="207">ROUND(T56*SIN($AF56)+U56*COS($AF56)+$AE56,6)</f>
        <v>-5</v>
      </c>
      <c r="AT56" s="68">
        <f t="shared" ref="AT56" si="208">ROUND(V56*COS($AF56)-W56*SIN($AF56)+$AD56,6)</f>
        <v>10</v>
      </c>
      <c r="AU56" s="69">
        <f t="shared" ref="AU56" si="209">ROUND(V56*SIN($AF56)+W56*COS($AF56)+$AE56,6)</f>
        <v>0</v>
      </c>
      <c r="AV56" s="67">
        <f t="shared" ref="AV56" si="210">ROUND(X56*COS($AF56)-Y56*SIN($AF56)+$AD56,6)</f>
        <v>0</v>
      </c>
      <c r="AW56" s="67">
        <f t="shared" ref="AW56" si="211">ROUND(X56*SIN($AF56)+Y56*COS($AF56)+$AE56,6)</f>
        <v>-5</v>
      </c>
      <c r="AX56" s="68">
        <f t="shared" ref="AX56" si="212">ROUND(Z56*COS($AF56)-AA56*SIN($AF56)+$AD56,6)</f>
        <v>0</v>
      </c>
      <c r="AY56" s="69">
        <f t="shared" ref="AY56" si="213">ROUND(Z56*SIN($AF56)+AA56*COS($AF56)+$AE56,6)</f>
        <v>5</v>
      </c>
      <c r="AZ56" s="67">
        <f t="shared" ref="AZ56" si="214">ROUND(AB56*COS($AF56)-AC56*SIN($AF56)+$AD56,6)</f>
        <v>-1</v>
      </c>
      <c r="BA56" s="93">
        <f t="shared" ref="BA56" si="215">ROUND(AB56*SIN($AF56)+AC56*COS($AF56)+$AE56,6)</f>
        <v>5</v>
      </c>
      <c r="BC56" s="21" t="s">
        <v>496</v>
      </c>
    </row>
    <row r="57" spans="1:55" s="16" customFormat="1" x14ac:dyDescent="0.3">
      <c r="A57" s="40">
        <v>0</v>
      </c>
      <c r="B57" s="40">
        <v>0</v>
      </c>
      <c r="C57" s="40">
        <f>-PI()/2</f>
        <v>-1.5707963267948966</v>
      </c>
      <c r="D57" s="40">
        <v>5</v>
      </c>
      <c r="E57" s="105">
        <f t="shared" si="189"/>
        <v>10</v>
      </c>
      <c r="F57" s="16">
        <f t="shared" si="190"/>
        <v>5</v>
      </c>
      <c r="G57" s="16">
        <f t="shared" si="191"/>
        <v>-5</v>
      </c>
      <c r="H57" s="16">
        <f t="shared" si="192"/>
        <v>10</v>
      </c>
      <c r="I57" s="16">
        <f t="shared" si="193"/>
        <v>1</v>
      </c>
      <c r="J57" s="92">
        <f t="shared" si="157"/>
        <v>5</v>
      </c>
      <c r="K57" s="67">
        <v>0</v>
      </c>
      <c r="L57" s="68">
        <v>0</v>
      </c>
      <c r="M57" s="69">
        <f t="shared" si="158"/>
        <v>10</v>
      </c>
      <c r="N57" s="67">
        <f t="shared" si="159"/>
        <v>5</v>
      </c>
      <c r="O57" s="67">
        <v>0</v>
      </c>
      <c r="P57" s="68">
        <f t="shared" si="160"/>
        <v>-5</v>
      </c>
      <c r="Q57" s="69">
        <v>0</v>
      </c>
      <c r="R57" s="67">
        <f t="shared" si="161"/>
        <v>-5</v>
      </c>
      <c r="S57" s="93">
        <v>1</v>
      </c>
      <c r="T57" s="92">
        <f t="shared" si="162"/>
        <v>-5</v>
      </c>
      <c r="U57" s="67">
        <v>0</v>
      </c>
      <c r="V57" s="68">
        <v>0</v>
      </c>
      <c r="W57" s="69">
        <f t="shared" si="163"/>
        <v>-10</v>
      </c>
      <c r="X57" s="67">
        <f t="shared" si="164"/>
        <v>-5</v>
      </c>
      <c r="Y57" s="67">
        <v>0</v>
      </c>
      <c r="Z57" s="68">
        <f t="shared" si="165"/>
        <v>5</v>
      </c>
      <c r="AA57" s="69">
        <v>0</v>
      </c>
      <c r="AB57" s="67">
        <f t="shared" si="166"/>
        <v>5</v>
      </c>
      <c r="AC57" s="93">
        <v>1</v>
      </c>
      <c r="AD57" s="102">
        <f t="shared" si="167"/>
        <v>0</v>
      </c>
      <c r="AE57" s="102">
        <f t="shared" si="168"/>
        <v>0</v>
      </c>
      <c r="AF57" s="102">
        <f t="shared" si="169"/>
        <v>-1.5707963267948966</v>
      </c>
      <c r="AG57" s="102">
        <f t="shared" si="170"/>
        <v>-90</v>
      </c>
      <c r="AH57" s="92">
        <f>ROUND(J57*COS($AF57)-K57*SIN($AF57)+$AD57,6)</f>
        <v>0</v>
      </c>
      <c r="AI57" s="67">
        <f>ROUND(J57*SIN($AF57)+K57*COS($AF57)+$AE57,6)</f>
        <v>-5</v>
      </c>
      <c r="AJ57" s="68">
        <f>ROUND(L57*COS($AF57)-M57*SIN($AF57)+$AD57,6)</f>
        <v>10</v>
      </c>
      <c r="AK57" s="69">
        <f>ROUND(L57*SIN($AF57)+M57*COS($AF57)+$AE57,6)</f>
        <v>0</v>
      </c>
      <c r="AL57" s="67">
        <f>ROUND(N57*COS($AF57)-O57*SIN($AF57)+$AD57,6)</f>
        <v>0</v>
      </c>
      <c r="AM57" s="67">
        <f>ROUND(N57*SIN($AF57)+O57*COS($AF57)+$AE57,6)</f>
        <v>-5</v>
      </c>
      <c r="AN57" s="68">
        <f>ROUND(P57*COS($AF57)-Q57*SIN($AF57)+$AD57,6)</f>
        <v>0</v>
      </c>
      <c r="AO57" s="69">
        <f>ROUND(P57*SIN($AF57)+Q57*COS($AF57)+$AE57,6)</f>
        <v>5</v>
      </c>
      <c r="AP57" s="67">
        <f>ROUND(R57*COS($AF57)-S57*SIN($AF57)+$AD57,6)</f>
        <v>1</v>
      </c>
      <c r="AQ57" s="93">
        <f>ROUND(R57*SIN($AF57)+S57*COS($AF57)+$AE57,6)</f>
        <v>5</v>
      </c>
      <c r="AR57" s="92">
        <f>ROUND(T57*COS($AF57)-U57*SIN($AF57)+$AD57,6)</f>
        <v>0</v>
      </c>
      <c r="AS57" s="67">
        <f>ROUND(T57*SIN($AF57)+U57*COS($AF57)+$AE57,6)</f>
        <v>5</v>
      </c>
      <c r="AT57" s="68">
        <f>ROUND(V57*COS($AF57)-W57*SIN($AF57)+$AD57,6)</f>
        <v>-10</v>
      </c>
      <c r="AU57" s="69">
        <f>ROUND(V57*SIN($AF57)+W57*COS($AF57)+$AE57,6)</f>
        <v>0</v>
      </c>
      <c r="AV57" s="67">
        <f>ROUND(X57*COS($AF57)-Y57*SIN($AF57)+$AD57,6)</f>
        <v>0</v>
      </c>
      <c r="AW57" s="67">
        <f>ROUND(X57*SIN($AF57)+Y57*COS($AF57)+$AE57,6)</f>
        <v>5</v>
      </c>
      <c r="AX57" s="68">
        <f>ROUND(Z57*COS($AF57)-AA57*SIN($AF57)+$AD57,6)</f>
        <v>0</v>
      </c>
      <c r="AY57" s="69">
        <f>ROUND(Z57*SIN($AF57)+AA57*COS($AF57)+$AE57,6)</f>
        <v>-5</v>
      </c>
      <c r="AZ57" s="67">
        <f>ROUND(AB57*COS($AF57)-AC57*SIN($AF57)+$AD57,6)</f>
        <v>1</v>
      </c>
      <c r="BA57" s="93">
        <f>ROUND(AB57*SIN($AF57)+AC57*COS($AF57)+$AE57,6)</f>
        <v>-5</v>
      </c>
      <c r="BC57" s="21" t="s">
        <v>499</v>
      </c>
    </row>
    <row r="58" spans="1:55" s="16" customFormat="1" x14ac:dyDescent="0.3">
      <c r="A58" s="40">
        <v>0</v>
      </c>
      <c r="B58" s="40">
        <v>0</v>
      </c>
      <c r="C58" s="40">
        <f>PI()</f>
        <v>3.1415926535897931</v>
      </c>
      <c r="D58" s="40">
        <v>5</v>
      </c>
      <c r="E58" s="105">
        <f t="shared" si="189"/>
        <v>10</v>
      </c>
      <c r="F58" s="16">
        <f t="shared" si="190"/>
        <v>5</v>
      </c>
      <c r="G58" s="16">
        <f t="shared" si="191"/>
        <v>-5</v>
      </c>
      <c r="H58" s="16">
        <f t="shared" si="192"/>
        <v>10</v>
      </c>
      <c r="I58" s="16">
        <f t="shared" si="193"/>
        <v>1</v>
      </c>
      <c r="J58" s="92">
        <f t="shared" si="157"/>
        <v>5</v>
      </c>
      <c r="K58" s="67">
        <v>0</v>
      </c>
      <c r="L58" s="68">
        <v>0</v>
      </c>
      <c r="M58" s="69">
        <f t="shared" si="158"/>
        <v>10</v>
      </c>
      <c r="N58" s="67">
        <f t="shared" si="159"/>
        <v>5</v>
      </c>
      <c r="O58" s="67">
        <v>0</v>
      </c>
      <c r="P58" s="68">
        <f t="shared" si="160"/>
        <v>-5</v>
      </c>
      <c r="Q58" s="69">
        <v>0</v>
      </c>
      <c r="R58" s="67">
        <f t="shared" si="161"/>
        <v>-5</v>
      </c>
      <c r="S58" s="93">
        <v>1</v>
      </c>
      <c r="T58" s="92">
        <f t="shared" si="162"/>
        <v>-5</v>
      </c>
      <c r="U58" s="67">
        <v>0</v>
      </c>
      <c r="V58" s="68">
        <v>0</v>
      </c>
      <c r="W58" s="69">
        <f t="shared" si="163"/>
        <v>-10</v>
      </c>
      <c r="X58" s="67">
        <f t="shared" si="164"/>
        <v>-5</v>
      </c>
      <c r="Y58" s="67">
        <v>0</v>
      </c>
      <c r="Z58" s="68">
        <f t="shared" si="165"/>
        <v>5</v>
      </c>
      <c r="AA58" s="69">
        <v>0</v>
      </c>
      <c r="AB58" s="67">
        <f t="shared" si="166"/>
        <v>5</v>
      </c>
      <c r="AC58" s="93">
        <v>1</v>
      </c>
      <c r="AD58" s="102">
        <f t="shared" si="167"/>
        <v>0</v>
      </c>
      <c r="AE58" s="102">
        <f t="shared" si="168"/>
        <v>0</v>
      </c>
      <c r="AF58" s="102">
        <f t="shared" si="169"/>
        <v>3.1415926535897931</v>
      </c>
      <c r="AG58" s="102">
        <f t="shared" si="170"/>
        <v>180</v>
      </c>
      <c r="AH58" s="92">
        <f t="shared" ref="AH58:AH60" si="216">ROUND(J58*COS($AF58)-K58*SIN($AF58)+$AD58,6)</f>
        <v>-5</v>
      </c>
      <c r="AI58" s="67">
        <f t="shared" ref="AI58:AI60" si="217">ROUND(J58*SIN($AF58)+K58*COS($AF58)+$AE58,6)</f>
        <v>0</v>
      </c>
      <c r="AJ58" s="68">
        <f t="shared" ref="AJ58:AJ60" si="218">ROUND(L58*COS($AF58)-M58*SIN($AF58)+$AD58,6)</f>
        <v>0</v>
      </c>
      <c r="AK58" s="69">
        <f t="shared" ref="AK58:AK60" si="219">ROUND(L58*SIN($AF58)+M58*COS($AF58)+$AE58,6)</f>
        <v>-10</v>
      </c>
      <c r="AL58" s="67">
        <f t="shared" ref="AL58:AL60" si="220">ROUND(N58*COS($AF58)-O58*SIN($AF58)+$AD58,6)</f>
        <v>-5</v>
      </c>
      <c r="AM58" s="67">
        <f t="shared" ref="AM58:AM60" si="221">ROUND(N58*SIN($AF58)+O58*COS($AF58)+$AE58,6)</f>
        <v>0</v>
      </c>
      <c r="AN58" s="68">
        <f t="shared" ref="AN58:AN60" si="222">ROUND(P58*COS($AF58)-Q58*SIN($AF58)+$AD58,6)</f>
        <v>5</v>
      </c>
      <c r="AO58" s="69">
        <f t="shared" ref="AO58:AO60" si="223">ROUND(P58*SIN($AF58)+Q58*COS($AF58)+$AE58,6)</f>
        <v>0</v>
      </c>
      <c r="AP58" s="67">
        <f t="shared" ref="AP58:AP60" si="224">ROUND(R58*COS($AF58)-S58*SIN($AF58)+$AD58,6)</f>
        <v>5</v>
      </c>
      <c r="AQ58" s="93">
        <f t="shared" ref="AQ58:AQ60" si="225">ROUND(R58*SIN($AF58)+S58*COS($AF58)+$AE58,6)</f>
        <v>-1</v>
      </c>
      <c r="AR58" s="92">
        <f t="shared" ref="AR58:AR60" si="226">ROUND(T58*COS($AF58)-U58*SIN($AF58)+$AD58,6)</f>
        <v>5</v>
      </c>
      <c r="AS58" s="67">
        <f t="shared" ref="AS58:AS60" si="227">ROUND(T58*SIN($AF58)+U58*COS($AF58)+$AE58,6)</f>
        <v>0</v>
      </c>
      <c r="AT58" s="68">
        <f t="shared" ref="AT58:AT60" si="228">ROUND(V58*COS($AF58)-W58*SIN($AF58)+$AD58,6)</f>
        <v>0</v>
      </c>
      <c r="AU58" s="69">
        <f t="shared" ref="AU58:AU60" si="229">ROUND(V58*SIN($AF58)+W58*COS($AF58)+$AE58,6)</f>
        <v>10</v>
      </c>
      <c r="AV58" s="67">
        <f t="shared" ref="AV58:AV60" si="230">ROUND(X58*COS($AF58)-Y58*SIN($AF58)+$AD58,6)</f>
        <v>5</v>
      </c>
      <c r="AW58" s="67">
        <f t="shared" ref="AW58:AW60" si="231">ROUND(X58*SIN($AF58)+Y58*COS($AF58)+$AE58,6)</f>
        <v>0</v>
      </c>
      <c r="AX58" s="68">
        <f t="shared" ref="AX58:AX60" si="232">ROUND(Z58*COS($AF58)-AA58*SIN($AF58)+$AD58,6)</f>
        <v>-5</v>
      </c>
      <c r="AY58" s="69">
        <f t="shared" ref="AY58:AY60" si="233">ROUND(Z58*SIN($AF58)+AA58*COS($AF58)+$AE58,6)</f>
        <v>0</v>
      </c>
      <c r="AZ58" s="67">
        <f t="shared" ref="AZ58:AZ60" si="234">ROUND(AB58*COS($AF58)-AC58*SIN($AF58)+$AD58,6)</f>
        <v>-5</v>
      </c>
      <c r="BA58" s="93">
        <f t="shared" ref="BA58:BA60" si="235">ROUND(AB58*SIN($AF58)+AC58*COS($AF58)+$AE58,6)</f>
        <v>-1</v>
      </c>
      <c r="BC58" s="21" t="s">
        <v>497</v>
      </c>
    </row>
    <row r="59" spans="1:55" s="16" customFormat="1" x14ac:dyDescent="0.3">
      <c r="A59" s="40">
        <v>0</v>
      </c>
      <c r="B59" s="40">
        <v>0</v>
      </c>
      <c r="C59" s="40">
        <f>-PI()</f>
        <v>-3.1415926535897931</v>
      </c>
      <c r="D59" s="40">
        <v>5</v>
      </c>
      <c r="E59" s="105">
        <f t="shared" si="189"/>
        <v>10</v>
      </c>
      <c r="F59" s="16">
        <f t="shared" si="190"/>
        <v>5</v>
      </c>
      <c r="G59" s="16">
        <f t="shared" si="191"/>
        <v>-5</v>
      </c>
      <c r="H59" s="16">
        <f t="shared" si="192"/>
        <v>10</v>
      </c>
      <c r="I59" s="16">
        <f t="shared" si="193"/>
        <v>1</v>
      </c>
      <c r="J59" s="92">
        <f t="shared" si="157"/>
        <v>5</v>
      </c>
      <c r="K59" s="67">
        <v>0</v>
      </c>
      <c r="L59" s="68">
        <v>0</v>
      </c>
      <c r="M59" s="69">
        <f t="shared" si="158"/>
        <v>10</v>
      </c>
      <c r="N59" s="67">
        <f t="shared" si="159"/>
        <v>5</v>
      </c>
      <c r="O59" s="67">
        <v>0</v>
      </c>
      <c r="P59" s="68">
        <f t="shared" si="160"/>
        <v>-5</v>
      </c>
      <c r="Q59" s="69">
        <v>0</v>
      </c>
      <c r="R59" s="67">
        <f t="shared" si="161"/>
        <v>-5</v>
      </c>
      <c r="S59" s="93">
        <v>1</v>
      </c>
      <c r="T59" s="92">
        <f t="shared" si="162"/>
        <v>-5</v>
      </c>
      <c r="U59" s="67">
        <v>0</v>
      </c>
      <c r="V59" s="68">
        <v>0</v>
      </c>
      <c r="W59" s="69">
        <f t="shared" si="163"/>
        <v>-10</v>
      </c>
      <c r="X59" s="67">
        <f t="shared" si="164"/>
        <v>-5</v>
      </c>
      <c r="Y59" s="67">
        <v>0</v>
      </c>
      <c r="Z59" s="68">
        <f t="shared" si="165"/>
        <v>5</v>
      </c>
      <c r="AA59" s="69">
        <v>0</v>
      </c>
      <c r="AB59" s="67">
        <f t="shared" si="166"/>
        <v>5</v>
      </c>
      <c r="AC59" s="93">
        <v>1</v>
      </c>
      <c r="AD59" s="102">
        <f t="shared" si="167"/>
        <v>0</v>
      </c>
      <c r="AE59" s="102">
        <f t="shared" si="168"/>
        <v>0</v>
      </c>
      <c r="AF59" s="102">
        <f t="shared" si="169"/>
        <v>-3.1415926535897931</v>
      </c>
      <c r="AG59" s="102">
        <f t="shared" si="170"/>
        <v>-180</v>
      </c>
      <c r="AH59" s="92">
        <f t="shared" si="216"/>
        <v>-5</v>
      </c>
      <c r="AI59" s="67">
        <f t="shared" si="217"/>
        <v>0</v>
      </c>
      <c r="AJ59" s="68">
        <f t="shared" si="218"/>
        <v>0</v>
      </c>
      <c r="AK59" s="69">
        <f t="shared" si="219"/>
        <v>-10</v>
      </c>
      <c r="AL59" s="67">
        <f t="shared" si="220"/>
        <v>-5</v>
      </c>
      <c r="AM59" s="67">
        <f t="shared" si="221"/>
        <v>0</v>
      </c>
      <c r="AN59" s="68">
        <f t="shared" si="222"/>
        <v>5</v>
      </c>
      <c r="AO59" s="69">
        <f t="shared" si="223"/>
        <v>0</v>
      </c>
      <c r="AP59" s="67">
        <f t="shared" si="224"/>
        <v>5</v>
      </c>
      <c r="AQ59" s="93">
        <f t="shared" si="225"/>
        <v>-1</v>
      </c>
      <c r="AR59" s="92">
        <f t="shared" si="226"/>
        <v>5</v>
      </c>
      <c r="AS59" s="67">
        <f t="shared" si="227"/>
        <v>0</v>
      </c>
      <c r="AT59" s="68">
        <f t="shared" si="228"/>
        <v>0</v>
      </c>
      <c r="AU59" s="69">
        <f t="shared" si="229"/>
        <v>10</v>
      </c>
      <c r="AV59" s="67">
        <f t="shared" si="230"/>
        <v>5</v>
      </c>
      <c r="AW59" s="67">
        <f t="shared" si="231"/>
        <v>0</v>
      </c>
      <c r="AX59" s="68">
        <f t="shared" si="232"/>
        <v>-5</v>
      </c>
      <c r="AY59" s="69">
        <f t="shared" si="233"/>
        <v>0</v>
      </c>
      <c r="AZ59" s="67">
        <f t="shared" si="234"/>
        <v>-5</v>
      </c>
      <c r="BA59" s="93">
        <f t="shared" si="235"/>
        <v>-1</v>
      </c>
      <c r="BC59" s="21" t="s">
        <v>500</v>
      </c>
    </row>
    <row r="60" spans="1:55" s="16" customFormat="1" x14ac:dyDescent="0.3">
      <c r="A60" s="40">
        <v>4</v>
      </c>
      <c r="B60" s="40">
        <v>5</v>
      </c>
      <c r="C60" s="40">
        <f>PI()/4</f>
        <v>0.78539816339744828</v>
      </c>
      <c r="D60" s="40">
        <v>5</v>
      </c>
      <c r="E60" s="105">
        <f t="shared" si="189"/>
        <v>10</v>
      </c>
      <c r="F60" s="16">
        <f t="shared" si="190"/>
        <v>5</v>
      </c>
      <c r="G60" s="16">
        <f t="shared" si="191"/>
        <v>-5</v>
      </c>
      <c r="H60" s="16">
        <f t="shared" si="192"/>
        <v>10</v>
      </c>
      <c r="I60" s="16">
        <f t="shared" si="193"/>
        <v>1</v>
      </c>
      <c r="J60" s="92">
        <f t="shared" si="157"/>
        <v>5</v>
      </c>
      <c r="K60" s="67">
        <v>0</v>
      </c>
      <c r="L60" s="68">
        <v>0</v>
      </c>
      <c r="M60" s="69">
        <f t="shared" si="158"/>
        <v>10</v>
      </c>
      <c r="N60" s="67">
        <f t="shared" si="159"/>
        <v>5</v>
      </c>
      <c r="O60" s="67">
        <v>0</v>
      </c>
      <c r="P60" s="68">
        <f t="shared" si="160"/>
        <v>-5</v>
      </c>
      <c r="Q60" s="69">
        <v>0</v>
      </c>
      <c r="R60" s="67">
        <f t="shared" si="161"/>
        <v>-5</v>
      </c>
      <c r="S60" s="93">
        <v>1</v>
      </c>
      <c r="T60" s="92">
        <f t="shared" si="162"/>
        <v>-5</v>
      </c>
      <c r="U60" s="67">
        <v>0</v>
      </c>
      <c r="V60" s="68">
        <v>0</v>
      </c>
      <c r="W60" s="69">
        <f t="shared" si="163"/>
        <v>-10</v>
      </c>
      <c r="X60" s="67">
        <f t="shared" si="164"/>
        <v>-5</v>
      </c>
      <c r="Y60" s="67">
        <v>0</v>
      </c>
      <c r="Z60" s="68">
        <f t="shared" si="165"/>
        <v>5</v>
      </c>
      <c r="AA60" s="69">
        <v>0</v>
      </c>
      <c r="AB60" s="67">
        <f t="shared" si="166"/>
        <v>5</v>
      </c>
      <c r="AC60" s="93">
        <v>1</v>
      </c>
      <c r="AD60" s="102">
        <f t="shared" si="167"/>
        <v>4</v>
      </c>
      <c r="AE60" s="102">
        <f t="shared" si="168"/>
        <v>5</v>
      </c>
      <c r="AF60" s="102">
        <f t="shared" si="169"/>
        <v>0.78539816339744828</v>
      </c>
      <c r="AG60" s="102">
        <f t="shared" si="170"/>
        <v>45</v>
      </c>
      <c r="AH60" s="92">
        <f t="shared" si="216"/>
        <v>7.5355340000000002</v>
      </c>
      <c r="AI60" s="67">
        <f t="shared" si="217"/>
        <v>8.5355340000000002</v>
      </c>
      <c r="AJ60" s="68">
        <f t="shared" si="218"/>
        <v>-3.0710679999999999</v>
      </c>
      <c r="AK60" s="69">
        <f t="shared" si="219"/>
        <v>12.071068</v>
      </c>
      <c r="AL60" s="67">
        <f t="shared" si="220"/>
        <v>7.5355340000000002</v>
      </c>
      <c r="AM60" s="67">
        <f t="shared" si="221"/>
        <v>8.5355340000000002</v>
      </c>
      <c r="AN60" s="68">
        <f t="shared" si="222"/>
        <v>0.46446599999999999</v>
      </c>
      <c r="AO60" s="69">
        <f t="shared" si="223"/>
        <v>1.464466</v>
      </c>
      <c r="AP60" s="67">
        <f t="shared" si="224"/>
        <v>-0.242641</v>
      </c>
      <c r="AQ60" s="93">
        <f t="shared" si="225"/>
        <v>2.171573</v>
      </c>
      <c r="AR60" s="92">
        <f t="shared" si="226"/>
        <v>0.46446599999999999</v>
      </c>
      <c r="AS60" s="67">
        <f t="shared" si="227"/>
        <v>1.464466</v>
      </c>
      <c r="AT60" s="68">
        <f t="shared" si="228"/>
        <v>11.071068</v>
      </c>
      <c r="AU60" s="69">
        <f t="shared" si="229"/>
        <v>-2.0710679999999999</v>
      </c>
      <c r="AV60" s="67">
        <f t="shared" si="230"/>
        <v>0.46446599999999999</v>
      </c>
      <c r="AW60" s="67">
        <f t="shared" si="231"/>
        <v>1.464466</v>
      </c>
      <c r="AX60" s="68">
        <f t="shared" si="232"/>
        <v>7.5355340000000002</v>
      </c>
      <c r="AY60" s="69">
        <f t="shared" si="233"/>
        <v>8.5355340000000002</v>
      </c>
      <c r="AZ60" s="67">
        <f t="shared" si="234"/>
        <v>6.8284269999999996</v>
      </c>
      <c r="BA60" s="93">
        <f t="shared" si="235"/>
        <v>9.2426410000000008</v>
      </c>
      <c r="BC60" s="21" t="s">
        <v>501</v>
      </c>
    </row>
    <row r="62" spans="1:55" s="2" customFormat="1" x14ac:dyDescent="0.3">
      <c r="A62" s="2" t="s">
        <v>480</v>
      </c>
    </row>
    <row r="63" spans="1:55" x14ac:dyDescent="0.3">
      <c r="J63" s="127" t="s">
        <v>325</v>
      </c>
      <c r="K63" s="128"/>
      <c r="L63" s="128"/>
      <c r="M63" s="128"/>
      <c r="N63" s="128"/>
      <c r="O63" s="128"/>
      <c r="P63" s="128"/>
      <c r="Q63" s="128"/>
      <c r="R63" s="128"/>
      <c r="S63" s="129"/>
      <c r="T63" s="127" t="s">
        <v>326</v>
      </c>
      <c r="U63" s="128"/>
      <c r="V63" s="128"/>
      <c r="W63" s="128"/>
      <c r="X63" s="128"/>
      <c r="Y63" s="128"/>
      <c r="Z63" s="128"/>
      <c r="AA63" s="128"/>
      <c r="AB63" s="128"/>
      <c r="AC63" s="129"/>
      <c r="AH63" s="127" t="s">
        <v>488</v>
      </c>
      <c r="AI63" s="128"/>
      <c r="AJ63" s="128"/>
      <c r="AK63" s="128"/>
      <c r="AL63" s="128"/>
      <c r="AM63" s="128"/>
      <c r="AN63" s="128"/>
      <c r="AO63" s="128"/>
      <c r="AP63" s="128"/>
      <c r="AQ63" s="129"/>
      <c r="AR63" s="127" t="s">
        <v>489</v>
      </c>
      <c r="AS63" s="128"/>
      <c r="AT63" s="128"/>
      <c r="AU63" s="128"/>
      <c r="AV63" s="128"/>
      <c r="AW63" s="128"/>
      <c r="AX63" s="128"/>
      <c r="AY63" s="128"/>
      <c r="AZ63" s="128"/>
      <c r="BA63" s="129"/>
    </row>
    <row r="64" spans="1:55" x14ac:dyDescent="0.3">
      <c r="A64" s="119" t="s">
        <v>482</v>
      </c>
      <c r="B64" s="119"/>
      <c r="C64" t="s">
        <v>414</v>
      </c>
      <c r="J64" s="126" t="s">
        <v>481</v>
      </c>
      <c r="K64" s="124"/>
      <c r="L64" s="122" t="s">
        <v>485</v>
      </c>
      <c r="M64" s="123"/>
      <c r="N64" s="124" t="s">
        <v>256</v>
      </c>
      <c r="O64" s="124"/>
      <c r="P64" s="122" t="s">
        <v>486</v>
      </c>
      <c r="Q64" s="123"/>
      <c r="R64" s="124" t="s">
        <v>487</v>
      </c>
      <c r="S64" s="125"/>
      <c r="T64" s="126" t="s">
        <v>481</v>
      </c>
      <c r="U64" s="124"/>
      <c r="V64" s="122" t="s">
        <v>485</v>
      </c>
      <c r="W64" s="123"/>
      <c r="X64" s="124" t="s">
        <v>256</v>
      </c>
      <c r="Y64" s="124"/>
      <c r="Z64" s="122" t="s">
        <v>486</v>
      </c>
      <c r="AA64" s="123"/>
      <c r="AB64" s="124" t="s">
        <v>487</v>
      </c>
      <c r="AC64" s="125"/>
      <c r="AD64" s="121" t="s">
        <v>441</v>
      </c>
      <c r="AE64" s="121"/>
      <c r="AF64" s="121"/>
      <c r="AG64" s="121"/>
      <c r="AH64" s="126" t="s">
        <v>481</v>
      </c>
      <c r="AI64" s="124"/>
      <c r="AJ64" s="122" t="s">
        <v>485</v>
      </c>
      <c r="AK64" s="123"/>
      <c r="AL64" s="124" t="s">
        <v>256</v>
      </c>
      <c r="AM64" s="124"/>
      <c r="AN64" s="122" t="s">
        <v>486</v>
      </c>
      <c r="AO64" s="123"/>
      <c r="AP64" s="124" t="s">
        <v>487</v>
      </c>
      <c r="AQ64" s="125"/>
      <c r="AR64" s="126" t="s">
        <v>481</v>
      </c>
      <c r="AS64" s="124"/>
      <c r="AT64" s="122" t="s">
        <v>485</v>
      </c>
      <c r="AU64" s="123"/>
      <c r="AV64" s="124" t="s">
        <v>256</v>
      </c>
      <c r="AW64" s="124"/>
      <c r="AX64" s="122" t="s">
        <v>486</v>
      </c>
      <c r="AY64" s="123"/>
      <c r="AZ64" s="124" t="s">
        <v>487</v>
      </c>
      <c r="BA64" s="125"/>
    </row>
    <row r="65" spans="1:55" ht="15" thickBot="1" x14ac:dyDescent="0.35">
      <c r="A65" t="s">
        <v>22</v>
      </c>
      <c r="B65" t="s">
        <v>23</v>
      </c>
      <c r="C65" t="s">
        <v>483</v>
      </c>
      <c r="D65" t="s">
        <v>153</v>
      </c>
      <c r="E65" t="s">
        <v>154</v>
      </c>
      <c r="F65" t="s">
        <v>155</v>
      </c>
      <c r="G65" t="s">
        <v>245</v>
      </c>
      <c r="H65" t="s">
        <v>243</v>
      </c>
      <c r="I65" t="s">
        <v>246</v>
      </c>
      <c r="J65" s="90" t="s">
        <v>22</v>
      </c>
      <c r="K65" s="16" t="s">
        <v>23</v>
      </c>
      <c r="L65" s="15" t="s">
        <v>22</v>
      </c>
      <c r="M65" s="19" t="s">
        <v>23</v>
      </c>
      <c r="N65" s="16" t="s">
        <v>22</v>
      </c>
      <c r="O65" s="16" t="s">
        <v>23</v>
      </c>
      <c r="P65" s="15" t="s">
        <v>22</v>
      </c>
      <c r="Q65" s="19" t="s">
        <v>23</v>
      </c>
      <c r="R65" s="16" t="s">
        <v>22</v>
      </c>
      <c r="S65" s="91" t="s">
        <v>23</v>
      </c>
      <c r="T65" s="90" t="s">
        <v>22</v>
      </c>
      <c r="U65" s="16" t="s">
        <v>23</v>
      </c>
      <c r="V65" s="15" t="s">
        <v>22</v>
      </c>
      <c r="W65" s="19" t="s">
        <v>23</v>
      </c>
      <c r="X65" s="16" t="s">
        <v>22</v>
      </c>
      <c r="Y65" s="16" t="s">
        <v>23</v>
      </c>
      <c r="Z65" s="15" t="s">
        <v>22</v>
      </c>
      <c r="AA65" s="19" t="s">
        <v>23</v>
      </c>
      <c r="AB65" s="16" t="s">
        <v>22</v>
      </c>
      <c r="AC65" s="91" t="s">
        <v>23</v>
      </c>
      <c r="AD65" s="6" t="s">
        <v>22</v>
      </c>
      <c r="AE65" s="6" t="s">
        <v>23</v>
      </c>
      <c r="AF65" s="6" t="s">
        <v>442</v>
      </c>
      <c r="AG65" s="6" t="s">
        <v>443</v>
      </c>
      <c r="AH65" s="90" t="s">
        <v>22</v>
      </c>
      <c r="AI65" s="16" t="s">
        <v>23</v>
      </c>
      <c r="AJ65" s="15" t="s">
        <v>22</v>
      </c>
      <c r="AK65" s="19" t="s">
        <v>23</v>
      </c>
      <c r="AL65" s="16" t="s">
        <v>22</v>
      </c>
      <c r="AM65" s="16" t="s">
        <v>23</v>
      </c>
      <c r="AN65" s="15" t="s">
        <v>22</v>
      </c>
      <c r="AO65" s="19" t="s">
        <v>23</v>
      </c>
      <c r="AP65" s="16" t="s">
        <v>22</v>
      </c>
      <c r="AQ65" s="91" t="s">
        <v>23</v>
      </c>
      <c r="AR65" s="90" t="s">
        <v>22</v>
      </c>
      <c r="AS65" s="16" t="s">
        <v>23</v>
      </c>
      <c r="AT65" s="15" t="s">
        <v>22</v>
      </c>
      <c r="AU65" s="19" t="s">
        <v>23</v>
      </c>
      <c r="AV65" s="16" t="s">
        <v>22</v>
      </c>
      <c r="AW65" s="16" t="s">
        <v>23</v>
      </c>
      <c r="AX65" s="15" t="s">
        <v>22</v>
      </c>
      <c r="AY65" s="19" t="s">
        <v>23</v>
      </c>
      <c r="AZ65" s="16" t="s">
        <v>22</v>
      </c>
      <c r="BA65" s="91" t="s">
        <v>23</v>
      </c>
    </row>
    <row r="66" spans="1:55" ht="15" thickTop="1" x14ac:dyDescent="0.3">
      <c r="A66" s="94">
        <v>0</v>
      </c>
      <c r="B66" s="94">
        <v>0</v>
      </c>
      <c r="C66" s="94">
        <v>0</v>
      </c>
      <c r="D66" s="94">
        <v>5</v>
      </c>
      <c r="E66" s="94">
        <v>3</v>
      </c>
      <c r="F66" s="95">
        <f>SQRT(D66^2+E66^2)</f>
        <v>5.8309518948453007</v>
      </c>
      <c r="G66" s="95">
        <f t="shared" ref="G66:G77" si="236">D66^2/$F66</f>
        <v>4.2874646285627209</v>
      </c>
      <c r="H66" s="95">
        <f t="shared" ref="H66:H77" si="237">E66^2/$E66</f>
        <v>3</v>
      </c>
      <c r="I66" s="95">
        <f t="shared" ref="I66:I77" si="238">F66/D66</f>
        <v>1.1661903789690602</v>
      </c>
      <c r="J66" s="97">
        <f t="shared" ref="J66:J77" si="239">$D66</f>
        <v>5</v>
      </c>
      <c r="K66" s="98">
        <v>0</v>
      </c>
      <c r="L66" s="100">
        <v>0</v>
      </c>
      <c r="M66" s="101">
        <f t="shared" ref="M66:M77" si="240">$E66</f>
        <v>3</v>
      </c>
      <c r="N66" s="98">
        <f t="shared" ref="N66:N77" si="241">$F66</f>
        <v>5.8309518948453007</v>
      </c>
      <c r="O66" s="98">
        <v>0</v>
      </c>
      <c r="P66" s="100">
        <f t="shared" ref="P66:P77" si="242">$G66</f>
        <v>4.2874646285627209</v>
      </c>
      <c r="Q66" s="101">
        <v>0</v>
      </c>
      <c r="R66" s="98">
        <f t="shared" ref="R66:R77" si="243">$G66</f>
        <v>4.2874646285627209</v>
      </c>
      <c r="S66" s="99">
        <v>1</v>
      </c>
      <c r="T66" s="97">
        <f t="shared" ref="T66:T77" si="244">-$D66</f>
        <v>-5</v>
      </c>
      <c r="U66" s="98">
        <v>0</v>
      </c>
      <c r="V66" s="100">
        <v>0</v>
      </c>
      <c r="W66" s="101">
        <f t="shared" ref="W66:W77" si="245">-$E66</f>
        <v>-3</v>
      </c>
      <c r="X66" s="98">
        <f t="shared" ref="X66:X77" si="246">-$F66</f>
        <v>-5.8309518948453007</v>
      </c>
      <c r="Y66" s="98">
        <v>0</v>
      </c>
      <c r="Z66" s="100">
        <f t="shared" ref="Z66:Z77" si="247">-$G66</f>
        <v>-4.2874646285627209</v>
      </c>
      <c r="AA66" s="101">
        <v>0</v>
      </c>
      <c r="AB66" s="98">
        <f t="shared" ref="AB66:AB77" si="248">-$G66</f>
        <v>-4.2874646285627209</v>
      </c>
      <c r="AC66" s="99">
        <v>1</v>
      </c>
      <c r="AD66" s="96">
        <f t="shared" ref="AD66:AD77" si="249">A66</f>
        <v>0</v>
      </c>
      <c r="AE66" s="96">
        <f t="shared" ref="AE66:AE77" si="250">B66</f>
        <v>0</v>
      </c>
      <c r="AF66" s="96">
        <f t="shared" ref="AF66:AF77" si="251">C66</f>
        <v>0</v>
      </c>
      <c r="AG66" s="96">
        <f t="shared" ref="AG66:AG77" si="252">DEGREES(AF66)</f>
        <v>0</v>
      </c>
      <c r="AH66" s="97">
        <f>ROUND(J66*COS($AF66)-K66*SIN($AF66)+$AD66,6)</f>
        <v>5</v>
      </c>
      <c r="AI66" s="98">
        <f>ROUND(J66*SIN($AF66)+K66*COS($AF66)+$AE66,6)</f>
        <v>0</v>
      </c>
      <c r="AJ66" s="100">
        <f t="shared" ref="AJ66:AJ71" si="253">ROUND(L66*COS($AF66)-M66*SIN($AF66)+$AD66,6)</f>
        <v>0</v>
      </c>
      <c r="AK66" s="101">
        <f t="shared" ref="AK66:AK71" si="254">ROUND(L66*SIN($AF66)+M66*COS($AF66)+$AE66,6)</f>
        <v>3</v>
      </c>
      <c r="AL66" s="98">
        <f t="shared" ref="AL66:AL71" si="255">ROUND(N66*COS($AF66)-O66*SIN($AF66)+$AD66,6)</f>
        <v>5.8309519999999999</v>
      </c>
      <c r="AM66" s="98">
        <f t="shared" ref="AM66:AM71" si="256">ROUND(N66*SIN($AF66)+O66*COS($AF66)+$AE66,6)</f>
        <v>0</v>
      </c>
      <c r="AN66" s="100">
        <f t="shared" ref="AN66:AN71" si="257">ROUND(P66*COS($AF66)-Q66*SIN($AF66)+$AD66,6)</f>
        <v>4.2874650000000001</v>
      </c>
      <c r="AO66" s="101">
        <f t="shared" ref="AO66:AO71" si="258">ROUND(P66*SIN($AF66)+Q66*COS($AF66)+$AE66,6)</f>
        <v>0</v>
      </c>
      <c r="AP66" s="98">
        <f t="shared" ref="AP66:AP71" si="259">ROUND(R66*COS($AF66)-S66*SIN($AF66)+$AD66,6)</f>
        <v>4.2874650000000001</v>
      </c>
      <c r="AQ66" s="99">
        <f t="shared" ref="AQ66:AQ71" si="260">ROUND(R66*SIN($AF66)+S66*COS($AF66)+$AE66,6)</f>
        <v>1</v>
      </c>
      <c r="AR66" s="97">
        <f t="shared" ref="AR66:AR71" si="261">ROUND(T66*COS($AF66)-U66*SIN($AF66)+$AD66,6)</f>
        <v>-5</v>
      </c>
      <c r="AS66" s="98">
        <f t="shared" ref="AS66:AS71" si="262">ROUND(T66*SIN($AF66)+U66*COS($AF66)+$AE66,6)</f>
        <v>0</v>
      </c>
      <c r="AT66" s="100">
        <f t="shared" ref="AT66:AT71" si="263">ROUND(V66*COS($AF66)-W66*SIN($AF66)+$AD66,6)</f>
        <v>0</v>
      </c>
      <c r="AU66" s="101">
        <f t="shared" ref="AU66:AU71" si="264">ROUND(V66*SIN($AF66)+W66*COS($AF66)+$AE66,6)</f>
        <v>-3</v>
      </c>
      <c r="AV66" s="98">
        <f t="shared" ref="AV66:AV71" si="265">ROUND(X66*COS($AF66)-Y66*SIN($AF66)+$AD66,6)</f>
        <v>-5.8309519999999999</v>
      </c>
      <c r="AW66" s="98">
        <f t="shared" ref="AW66:AW71" si="266">ROUND(X66*SIN($AF66)+Y66*COS($AF66)+$AE66,6)</f>
        <v>0</v>
      </c>
      <c r="AX66" s="100">
        <f t="shared" ref="AX66:AX71" si="267">ROUND(Z66*COS($AF66)-AA66*SIN($AF66)+$AD66,6)</f>
        <v>-4.2874650000000001</v>
      </c>
      <c r="AY66" s="101">
        <f t="shared" ref="AY66:AY71" si="268">ROUND(Z66*SIN($AF66)+AA66*COS($AF66)+$AE66,6)</f>
        <v>0</v>
      </c>
      <c r="AZ66" s="98">
        <f t="shared" ref="AZ66:AZ71" si="269">ROUND(AB66*COS($AF66)-AC66*SIN($AF66)+$AD66,6)</f>
        <v>-4.2874650000000001</v>
      </c>
      <c r="BA66" s="99">
        <f t="shared" ref="BA66:BA71" si="270">ROUND(AB66*SIN($AF66)+AC66*COS($AF66)+$AE66,6)</f>
        <v>1</v>
      </c>
      <c r="BC66" t="s">
        <v>490</v>
      </c>
    </row>
    <row r="67" spans="1:55" s="16" customFormat="1" x14ac:dyDescent="0.3">
      <c r="A67" s="40">
        <v>4</v>
      </c>
      <c r="B67" s="40">
        <v>5</v>
      </c>
      <c r="C67" s="40">
        <v>0</v>
      </c>
      <c r="D67" s="40">
        <v>5</v>
      </c>
      <c r="E67" s="40">
        <v>3</v>
      </c>
      <c r="F67" s="16">
        <f t="shared" ref="F67:F77" si="271">SQRT(D67^2+E67^2)</f>
        <v>5.8309518948453007</v>
      </c>
      <c r="G67" s="16">
        <f t="shared" si="236"/>
        <v>4.2874646285627209</v>
      </c>
      <c r="H67" s="16">
        <f t="shared" si="237"/>
        <v>3</v>
      </c>
      <c r="I67" s="16">
        <f t="shared" si="238"/>
        <v>1.1661903789690602</v>
      </c>
      <c r="J67" s="92">
        <f t="shared" si="239"/>
        <v>5</v>
      </c>
      <c r="K67" s="67">
        <v>0</v>
      </c>
      <c r="L67" s="68">
        <v>0</v>
      </c>
      <c r="M67" s="69">
        <f t="shared" si="240"/>
        <v>3</v>
      </c>
      <c r="N67" s="67">
        <f t="shared" si="241"/>
        <v>5.8309518948453007</v>
      </c>
      <c r="O67" s="67">
        <v>0</v>
      </c>
      <c r="P67" s="68">
        <f t="shared" si="242"/>
        <v>4.2874646285627209</v>
      </c>
      <c r="Q67" s="69">
        <v>0</v>
      </c>
      <c r="R67" s="67">
        <f t="shared" si="243"/>
        <v>4.2874646285627209</v>
      </c>
      <c r="S67" s="93">
        <v>1</v>
      </c>
      <c r="T67" s="92">
        <f t="shared" si="244"/>
        <v>-5</v>
      </c>
      <c r="U67" s="67">
        <v>0</v>
      </c>
      <c r="V67" s="68">
        <v>0</v>
      </c>
      <c r="W67" s="69">
        <f t="shared" si="245"/>
        <v>-3</v>
      </c>
      <c r="X67" s="67">
        <f t="shared" si="246"/>
        <v>-5.8309518948453007</v>
      </c>
      <c r="Y67" s="67">
        <v>0</v>
      </c>
      <c r="Z67" s="68">
        <f t="shared" si="247"/>
        <v>-4.2874646285627209</v>
      </c>
      <c r="AA67" s="69">
        <v>0</v>
      </c>
      <c r="AB67" s="67">
        <f t="shared" si="248"/>
        <v>-4.2874646285627209</v>
      </c>
      <c r="AC67" s="93">
        <v>1</v>
      </c>
      <c r="AD67" s="102">
        <f t="shared" si="249"/>
        <v>4</v>
      </c>
      <c r="AE67" s="102">
        <f t="shared" si="250"/>
        <v>5</v>
      </c>
      <c r="AF67" s="102">
        <f t="shared" si="251"/>
        <v>0</v>
      </c>
      <c r="AG67" s="102">
        <f t="shared" si="252"/>
        <v>0</v>
      </c>
      <c r="AH67" s="92">
        <f t="shared" ref="AH67:AH71" si="272">ROUND(J67*COS($AF67)-K67*SIN($AF67)+$AD67,6)</f>
        <v>9</v>
      </c>
      <c r="AI67" s="67">
        <f t="shared" ref="AI67:AI71" si="273">ROUND(J67*SIN($AF67)+K67*COS($AF67)+$AE67,6)</f>
        <v>5</v>
      </c>
      <c r="AJ67" s="68">
        <f t="shared" si="253"/>
        <v>4</v>
      </c>
      <c r="AK67" s="69">
        <f t="shared" si="254"/>
        <v>8</v>
      </c>
      <c r="AL67" s="67">
        <f t="shared" si="255"/>
        <v>9.8309519999999999</v>
      </c>
      <c r="AM67" s="67">
        <f t="shared" si="256"/>
        <v>5</v>
      </c>
      <c r="AN67" s="68">
        <f t="shared" si="257"/>
        <v>8.2874649999999992</v>
      </c>
      <c r="AO67" s="69">
        <f t="shared" si="258"/>
        <v>5</v>
      </c>
      <c r="AP67" s="67">
        <f t="shared" si="259"/>
        <v>8.2874649999999992</v>
      </c>
      <c r="AQ67" s="93">
        <f t="shared" si="260"/>
        <v>6</v>
      </c>
      <c r="AR67" s="92">
        <f t="shared" si="261"/>
        <v>-1</v>
      </c>
      <c r="AS67" s="67">
        <f t="shared" si="262"/>
        <v>5</v>
      </c>
      <c r="AT67" s="68">
        <f t="shared" si="263"/>
        <v>4</v>
      </c>
      <c r="AU67" s="69">
        <f t="shared" si="264"/>
        <v>2</v>
      </c>
      <c r="AV67" s="67">
        <f t="shared" si="265"/>
        <v>-1.8309519999999999</v>
      </c>
      <c r="AW67" s="67">
        <f t="shared" si="266"/>
        <v>5</v>
      </c>
      <c r="AX67" s="68">
        <f t="shared" si="267"/>
        <v>-0.28746500000000003</v>
      </c>
      <c r="AY67" s="69">
        <f t="shared" si="268"/>
        <v>5</v>
      </c>
      <c r="AZ67" s="67">
        <f t="shared" si="269"/>
        <v>-0.28746500000000003</v>
      </c>
      <c r="BA67" s="93">
        <f t="shared" si="270"/>
        <v>6</v>
      </c>
      <c r="BC67" s="16" t="s">
        <v>491</v>
      </c>
    </row>
    <row r="68" spans="1:55" s="16" customFormat="1" x14ac:dyDescent="0.3">
      <c r="A68" s="40">
        <v>-4</v>
      </c>
      <c r="B68" s="40">
        <v>5</v>
      </c>
      <c r="C68" s="40">
        <v>0</v>
      </c>
      <c r="D68" s="40">
        <v>5</v>
      </c>
      <c r="E68" s="40">
        <v>3</v>
      </c>
      <c r="F68" s="16">
        <f t="shared" si="271"/>
        <v>5.8309518948453007</v>
      </c>
      <c r="G68" s="16">
        <f t="shared" si="236"/>
        <v>4.2874646285627209</v>
      </c>
      <c r="H68" s="16">
        <f t="shared" si="237"/>
        <v>3</v>
      </c>
      <c r="I68" s="16">
        <f t="shared" si="238"/>
        <v>1.1661903789690602</v>
      </c>
      <c r="J68" s="92">
        <f t="shared" si="239"/>
        <v>5</v>
      </c>
      <c r="K68" s="67">
        <v>0</v>
      </c>
      <c r="L68" s="68">
        <v>0</v>
      </c>
      <c r="M68" s="69">
        <f t="shared" si="240"/>
        <v>3</v>
      </c>
      <c r="N68" s="67">
        <f t="shared" si="241"/>
        <v>5.8309518948453007</v>
      </c>
      <c r="O68" s="67">
        <v>0</v>
      </c>
      <c r="P68" s="68">
        <f t="shared" si="242"/>
        <v>4.2874646285627209</v>
      </c>
      <c r="Q68" s="69">
        <v>0</v>
      </c>
      <c r="R68" s="67">
        <f t="shared" si="243"/>
        <v>4.2874646285627209</v>
      </c>
      <c r="S68" s="93">
        <v>1</v>
      </c>
      <c r="T68" s="92">
        <f t="shared" si="244"/>
        <v>-5</v>
      </c>
      <c r="U68" s="67">
        <v>0</v>
      </c>
      <c r="V68" s="68">
        <v>0</v>
      </c>
      <c r="W68" s="69">
        <f t="shared" si="245"/>
        <v>-3</v>
      </c>
      <c r="X68" s="67">
        <f t="shared" si="246"/>
        <v>-5.8309518948453007</v>
      </c>
      <c r="Y68" s="67">
        <v>0</v>
      </c>
      <c r="Z68" s="68">
        <f t="shared" si="247"/>
        <v>-4.2874646285627209</v>
      </c>
      <c r="AA68" s="69">
        <v>0</v>
      </c>
      <c r="AB68" s="67">
        <f t="shared" si="248"/>
        <v>-4.2874646285627209</v>
      </c>
      <c r="AC68" s="93">
        <v>1</v>
      </c>
      <c r="AD68" s="102">
        <f t="shared" si="249"/>
        <v>-4</v>
      </c>
      <c r="AE68" s="102">
        <f t="shared" si="250"/>
        <v>5</v>
      </c>
      <c r="AF68" s="102">
        <f t="shared" si="251"/>
        <v>0</v>
      </c>
      <c r="AG68" s="102">
        <f t="shared" si="252"/>
        <v>0</v>
      </c>
      <c r="AH68" s="92">
        <f t="shared" si="272"/>
        <v>1</v>
      </c>
      <c r="AI68" s="67">
        <f t="shared" si="273"/>
        <v>5</v>
      </c>
      <c r="AJ68" s="68">
        <f t="shared" si="253"/>
        <v>-4</v>
      </c>
      <c r="AK68" s="69">
        <f t="shared" si="254"/>
        <v>8</v>
      </c>
      <c r="AL68" s="67">
        <f t="shared" si="255"/>
        <v>1.8309519999999999</v>
      </c>
      <c r="AM68" s="67">
        <f t="shared" si="256"/>
        <v>5</v>
      </c>
      <c r="AN68" s="68">
        <f t="shared" si="257"/>
        <v>0.28746500000000003</v>
      </c>
      <c r="AO68" s="69">
        <f t="shared" si="258"/>
        <v>5</v>
      </c>
      <c r="AP68" s="67">
        <f t="shared" si="259"/>
        <v>0.28746500000000003</v>
      </c>
      <c r="AQ68" s="93">
        <f t="shared" si="260"/>
        <v>6</v>
      </c>
      <c r="AR68" s="92">
        <f t="shared" si="261"/>
        <v>-9</v>
      </c>
      <c r="AS68" s="67">
        <f t="shared" si="262"/>
        <v>5</v>
      </c>
      <c r="AT68" s="68">
        <f t="shared" si="263"/>
        <v>-4</v>
      </c>
      <c r="AU68" s="69">
        <f t="shared" si="264"/>
        <v>2</v>
      </c>
      <c r="AV68" s="67">
        <f t="shared" si="265"/>
        <v>-9.8309519999999999</v>
      </c>
      <c r="AW68" s="67">
        <f t="shared" si="266"/>
        <v>5</v>
      </c>
      <c r="AX68" s="68">
        <f t="shared" si="267"/>
        <v>-8.2874649999999992</v>
      </c>
      <c r="AY68" s="69">
        <f t="shared" si="268"/>
        <v>5</v>
      </c>
      <c r="AZ68" s="67">
        <f t="shared" si="269"/>
        <v>-8.2874649999999992</v>
      </c>
      <c r="BA68" s="93">
        <f t="shared" si="270"/>
        <v>6</v>
      </c>
      <c r="BC68" s="16" t="s">
        <v>492</v>
      </c>
    </row>
    <row r="69" spans="1:55" s="16" customFormat="1" x14ac:dyDescent="0.3">
      <c r="A69" s="40">
        <v>-4</v>
      </c>
      <c r="B69" s="40">
        <v>-5</v>
      </c>
      <c r="C69" s="40">
        <v>0</v>
      </c>
      <c r="D69" s="40">
        <v>5</v>
      </c>
      <c r="E69" s="40">
        <v>3</v>
      </c>
      <c r="F69" s="16">
        <f t="shared" si="271"/>
        <v>5.8309518948453007</v>
      </c>
      <c r="G69" s="16">
        <f t="shared" si="236"/>
        <v>4.2874646285627209</v>
      </c>
      <c r="H69" s="16">
        <f t="shared" si="237"/>
        <v>3</v>
      </c>
      <c r="I69" s="16">
        <f t="shared" si="238"/>
        <v>1.1661903789690602</v>
      </c>
      <c r="J69" s="92">
        <f t="shared" si="239"/>
        <v>5</v>
      </c>
      <c r="K69" s="67">
        <v>0</v>
      </c>
      <c r="L69" s="68">
        <v>0</v>
      </c>
      <c r="M69" s="69">
        <f t="shared" si="240"/>
        <v>3</v>
      </c>
      <c r="N69" s="67">
        <f t="shared" si="241"/>
        <v>5.8309518948453007</v>
      </c>
      <c r="O69" s="67">
        <v>0</v>
      </c>
      <c r="P69" s="68">
        <f t="shared" si="242"/>
        <v>4.2874646285627209</v>
      </c>
      <c r="Q69" s="69">
        <v>0</v>
      </c>
      <c r="R69" s="67">
        <f t="shared" si="243"/>
        <v>4.2874646285627209</v>
      </c>
      <c r="S69" s="93">
        <v>1</v>
      </c>
      <c r="T69" s="92">
        <f t="shared" si="244"/>
        <v>-5</v>
      </c>
      <c r="U69" s="67">
        <v>0</v>
      </c>
      <c r="V69" s="68">
        <v>0</v>
      </c>
      <c r="W69" s="69">
        <f t="shared" si="245"/>
        <v>-3</v>
      </c>
      <c r="X69" s="67">
        <f t="shared" si="246"/>
        <v>-5.8309518948453007</v>
      </c>
      <c r="Y69" s="67">
        <v>0</v>
      </c>
      <c r="Z69" s="68">
        <f t="shared" si="247"/>
        <v>-4.2874646285627209</v>
      </c>
      <c r="AA69" s="69">
        <v>0</v>
      </c>
      <c r="AB69" s="67">
        <f t="shared" si="248"/>
        <v>-4.2874646285627209</v>
      </c>
      <c r="AC69" s="93">
        <v>1</v>
      </c>
      <c r="AD69" s="102">
        <f t="shared" si="249"/>
        <v>-4</v>
      </c>
      <c r="AE69" s="102">
        <f t="shared" si="250"/>
        <v>-5</v>
      </c>
      <c r="AF69" s="102">
        <f t="shared" si="251"/>
        <v>0</v>
      </c>
      <c r="AG69" s="102">
        <f t="shared" si="252"/>
        <v>0</v>
      </c>
      <c r="AH69" s="92">
        <f t="shared" si="272"/>
        <v>1</v>
      </c>
      <c r="AI69" s="67">
        <f t="shared" si="273"/>
        <v>-5</v>
      </c>
      <c r="AJ69" s="68">
        <f t="shared" si="253"/>
        <v>-4</v>
      </c>
      <c r="AK69" s="69">
        <f t="shared" si="254"/>
        <v>-2</v>
      </c>
      <c r="AL69" s="67">
        <f t="shared" si="255"/>
        <v>1.8309519999999999</v>
      </c>
      <c r="AM69" s="67">
        <f t="shared" si="256"/>
        <v>-5</v>
      </c>
      <c r="AN69" s="68">
        <f t="shared" si="257"/>
        <v>0.28746500000000003</v>
      </c>
      <c r="AO69" s="69">
        <f t="shared" si="258"/>
        <v>-5</v>
      </c>
      <c r="AP69" s="67">
        <f t="shared" si="259"/>
        <v>0.28746500000000003</v>
      </c>
      <c r="AQ69" s="93">
        <f t="shared" si="260"/>
        <v>-4</v>
      </c>
      <c r="AR69" s="92">
        <f t="shared" si="261"/>
        <v>-9</v>
      </c>
      <c r="AS69" s="67">
        <f t="shared" si="262"/>
        <v>-5</v>
      </c>
      <c r="AT69" s="68">
        <f t="shared" si="263"/>
        <v>-4</v>
      </c>
      <c r="AU69" s="69">
        <f t="shared" si="264"/>
        <v>-8</v>
      </c>
      <c r="AV69" s="67">
        <f t="shared" si="265"/>
        <v>-9.8309519999999999</v>
      </c>
      <c r="AW69" s="67">
        <f t="shared" si="266"/>
        <v>-5</v>
      </c>
      <c r="AX69" s="68">
        <f t="shared" si="267"/>
        <v>-8.2874649999999992</v>
      </c>
      <c r="AY69" s="69">
        <f t="shared" si="268"/>
        <v>-5</v>
      </c>
      <c r="AZ69" s="67">
        <f t="shared" si="269"/>
        <v>-8.2874649999999992</v>
      </c>
      <c r="BA69" s="93">
        <f t="shared" si="270"/>
        <v>-4</v>
      </c>
      <c r="BC69" s="16" t="s">
        <v>493</v>
      </c>
    </row>
    <row r="70" spans="1:55" s="16" customFormat="1" x14ac:dyDescent="0.3">
      <c r="A70" s="40">
        <v>4</v>
      </c>
      <c r="B70" s="40">
        <v>-5</v>
      </c>
      <c r="C70" s="40">
        <v>0</v>
      </c>
      <c r="D70" s="40">
        <v>5</v>
      </c>
      <c r="E70" s="40">
        <v>3</v>
      </c>
      <c r="F70" s="16">
        <f t="shared" si="271"/>
        <v>5.8309518948453007</v>
      </c>
      <c r="G70" s="16">
        <f t="shared" si="236"/>
        <v>4.2874646285627209</v>
      </c>
      <c r="H70" s="16">
        <f t="shared" si="237"/>
        <v>3</v>
      </c>
      <c r="I70" s="16">
        <f t="shared" si="238"/>
        <v>1.1661903789690602</v>
      </c>
      <c r="J70" s="92">
        <f t="shared" si="239"/>
        <v>5</v>
      </c>
      <c r="K70" s="67">
        <v>0</v>
      </c>
      <c r="L70" s="68">
        <v>0</v>
      </c>
      <c r="M70" s="69">
        <f t="shared" si="240"/>
        <v>3</v>
      </c>
      <c r="N70" s="67">
        <f t="shared" si="241"/>
        <v>5.8309518948453007</v>
      </c>
      <c r="O70" s="67">
        <v>0</v>
      </c>
      <c r="P70" s="68">
        <f t="shared" si="242"/>
        <v>4.2874646285627209</v>
      </c>
      <c r="Q70" s="69">
        <v>0</v>
      </c>
      <c r="R70" s="67">
        <f t="shared" si="243"/>
        <v>4.2874646285627209</v>
      </c>
      <c r="S70" s="93">
        <v>1</v>
      </c>
      <c r="T70" s="92">
        <f t="shared" si="244"/>
        <v>-5</v>
      </c>
      <c r="U70" s="67">
        <v>0</v>
      </c>
      <c r="V70" s="68">
        <v>0</v>
      </c>
      <c r="W70" s="69">
        <f t="shared" si="245"/>
        <v>-3</v>
      </c>
      <c r="X70" s="67">
        <f t="shared" si="246"/>
        <v>-5.8309518948453007</v>
      </c>
      <c r="Y70" s="67">
        <v>0</v>
      </c>
      <c r="Z70" s="68">
        <f t="shared" si="247"/>
        <v>-4.2874646285627209</v>
      </c>
      <c r="AA70" s="69">
        <v>0</v>
      </c>
      <c r="AB70" s="67">
        <f t="shared" si="248"/>
        <v>-4.2874646285627209</v>
      </c>
      <c r="AC70" s="93">
        <v>1</v>
      </c>
      <c r="AD70" s="102">
        <f t="shared" si="249"/>
        <v>4</v>
      </c>
      <c r="AE70" s="102">
        <f t="shared" si="250"/>
        <v>-5</v>
      </c>
      <c r="AF70" s="102">
        <f t="shared" si="251"/>
        <v>0</v>
      </c>
      <c r="AG70" s="102">
        <f t="shared" si="252"/>
        <v>0</v>
      </c>
      <c r="AH70" s="92">
        <f t="shared" si="272"/>
        <v>9</v>
      </c>
      <c r="AI70" s="67">
        <f t="shared" si="273"/>
        <v>-5</v>
      </c>
      <c r="AJ70" s="68">
        <f t="shared" si="253"/>
        <v>4</v>
      </c>
      <c r="AK70" s="69">
        <f t="shared" si="254"/>
        <v>-2</v>
      </c>
      <c r="AL70" s="67">
        <f t="shared" si="255"/>
        <v>9.8309519999999999</v>
      </c>
      <c r="AM70" s="67">
        <f t="shared" si="256"/>
        <v>-5</v>
      </c>
      <c r="AN70" s="68">
        <f t="shared" si="257"/>
        <v>8.2874649999999992</v>
      </c>
      <c r="AO70" s="69">
        <f t="shared" si="258"/>
        <v>-5</v>
      </c>
      <c r="AP70" s="67">
        <f t="shared" si="259"/>
        <v>8.2874649999999992</v>
      </c>
      <c r="AQ70" s="93">
        <f t="shared" si="260"/>
        <v>-4</v>
      </c>
      <c r="AR70" s="92">
        <f t="shared" si="261"/>
        <v>-1</v>
      </c>
      <c r="AS70" s="67">
        <f t="shared" si="262"/>
        <v>-5</v>
      </c>
      <c r="AT70" s="68">
        <f t="shared" si="263"/>
        <v>4</v>
      </c>
      <c r="AU70" s="69">
        <f t="shared" si="264"/>
        <v>-8</v>
      </c>
      <c r="AV70" s="67">
        <f t="shared" si="265"/>
        <v>-1.8309519999999999</v>
      </c>
      <c r="AW70" s="67">
        <f t="shared" si="266"/>
        <v>-5</v>
      </c>
      <c r="AX70" s="68">
        <f t="shared" si="267"/>
        <v>-0.28746500000000003</v>
      </c>
      <c r="AY70" s="69">
        <f t="shared" si="268"/>
        <v>-5</v>
      </c>
      <c r="AZ70" s="67">
        <f t="shared" si="269"/>
        <v>-0.28746500000000003</v>
      </c>
      <c r="BA70" s="93">
        <f t="shared" si="270"/>
        <v>-4</v>
      </c>
      <c r="BC70" s="16" t="s">
        <v>494</v>
      </c>
    </row>
    <row r="71" spans="1:55" s="16" customFormat="1" x14ac:dyDescent="0.3">
      <c r="A71" s="40">
        <v>0</v>
      </c>
      <c r="B71" s="40">
        <v>0</v>
      </c>
      <c r="C71" s="40">
        <f>PI()/4</f>
        <v>0.78539816339744828</v>
      </c>
      <c r="D71" s="40">
        <v>5</v>
      </c>
      <c r="E71" s="40">
        <v>3</v>
      </c>
      <c r="F71" s="16">
        <f t="shared" si="271"/>
        <v>5.8309518948453007</v>
      </c>
      <c r="G71" s="16">
        <f t="shared" si="236"/>
        <v>4.2874646285627209</v>
      </c>
      <c r="H71" s="16">
        <f t="shared" si="237"/>
        <v>3</v>
      </c>
      <c r="I71" s="16">
        <f t="shared" si="238"/>
        <v>1.1661903789690602</v>
      </c>
      <c r="J71" s="92">
        <f t="shared" si="239"/>
        <v>5</v>
      </c>
      <c r="K71" s="67">
        <v>0</v>
      </c>
      <c r="L71" s="68">
        <v>0</v>
      </c>
      <c r="M71" s="69">
        <f t="shared" si="240"/>
        <v>3</v>
      </c>
      <c r="N71" s="67">
        <f t="shared" si="241"/>
        <v>5.8309518948453007</v>
      </c>
      <c r="O71" s="67">
        <v>0</v>
      </c>
      <c r="P71" s="68">
        <f t="shared" si="242"/>
        <v>4.2874646285627209</v>
      </c>
      <c r="Q71" s="69">
        <v>0</v>
      </c>
      <c r="R71" s="67">
        <f t="shared" si="243"/>
        <v>4.2874646285627209</v>
      </c>
      <c r="S71" s="93">
        <v>1</v>
      </c>
      <c r="T71" s="92">
        <f t="shared" si="244"/>
        <v>-5</v>
      </c>
      <c r="U71" s="67">
        <v>0</v>
      </c>
      <c r="V71" s="68">
        <v>0</v>
      </c>
      <c r="W71" s="69">
        <f t="shared" si="245"/>
        <v>-3</v>
      </c>
      <c r="X71" s="67">
        <f t="shared" si="246"/>
        <v>-5.8309518948453007</v>
      </c>
      <c r="Y71" s="67">
        <v>0</v>
      </c>
      <c r="Z71" s="68">
        <f t="shared" si="247"/>
        <v>-4.2874646285627209</v>
      </c>
      <c r="AA71" s="69">
        <v>0</v>
      </c>
      <c r="AB71" s="67">
        <f t="shared" si="248"/>
        <v>-4.2874646285627209</v>
      </c>
      <c r="AC71" s="93">
        <v>1</v>
      </c>
      <c r="AD71" s="102">
        <f t="shared" si="249"/>
        <v>0</v>
      </c>
      <c r="AE71" s="102">
        <f t="shared" si="250"/>
        <v>0</v>
      </c>
      <c r="AF71" s="102">
        <f t="shared" si="251"/>
        <v>0.78539816339744828</v>
      </c>
      <c r="AG71" s="102">
        <f t="shared" si="252"/>
        <v>45</v>
      </c>
      <c r="AH71" s="92">
        <f t="shared" si="272"/>
        <v>3.5355340000000002</v>
      </c>
      <c r="AI71" s="67">
        <f t="shared" si="273"/>
        <v>3.5355340000000002</v>
      </c>
      <c r="AJ71" s="68">
        <f t="shared" si="253"/>
        <v>-2.1213199999999999</v>
      </c>
      <c r="AK71" s="69">
        <f t="shared" si="254"/>
        <v>2.1213199999999999</v>
      </c>
      <c r="AL71" s="67">
        <f t="shared" si="255"/>
        <v>4.1231059999999999</v>
      </c>
      <c r="AM71" s="67">
        <f t="shared" si="256"/>
        <v>4.1231059999999999</v>
      </c>
      <c r="AN71" s="68">
        <f t="shared" si="257"/>
        <v>3.031695</v>
      </c>
      <c r="AO71" s="69">
        <f t="shared" si="258"/>
        <v>3.031695</v>
      </c>
      <c r="AP71" s="67">
        <f t="shared" si="259"/>
        <v>2.324589</v>
      </c>
      <c r="AQ71" s="93">
        <f t="shared" si="260"/>
        <v>3.7388020000000002</v>
      </c>
      <c r="AR71" s="92">
        <f t="shared" si="261"/>
        <v>-3.5355340000000002</v>
      </c>
      <c r="AS71" s="67">
        <f t="shared" si="262"/>
        <v>-3.5355340000000002</v>
      </c>
      <c r="AT71" s="68">
        <f t="shared" si="263"/>
        <v>2.1213199999999999</v>
      </c>
      <c r="AU71" s="69">
        <f t="shared" si="264"/>
        <v>-2.1213199999999999</v>
      </c>
      <c r="AV71" s="67">
        <f t="shared" si="265"/>
        <v>-4.1231059999999999</v>
      </c>
      <c r="AW71" s="67">
        <f t="shared" si="266"/>
        <v>-4.1231059999999999</v>
      </c>
      <c r="AX71" s="68">
        <f t="shared" si="267"/>
        <v>-3.031695</v>
      </c>
      <c r="AY71" s="69">
        <f t="shared" si="268"/>
        <v>-3.031695</v>
      </c>
      <c r="AZ71" s="67">
        <f t="shared" si="269"/>
        <v>-3.7388020000000002</v>
      </c>
      <c r="BA71" s="93">
        <f t="shared" si="270"/>
        <v>-2.324589</v>
      </c>
      <c r="BC71" s="21" t="s">
        <v>495</v>
      </c>
    </row>
    <row r="72" spans="1:55" s="16" customFormat="1" x14ac:dyDescent="0.3">
      <c r="A72" s="40">
        <v>0</v>
      </c>
      <c r="B72" s="40">
        <v>0</v>
      </c>
      <c r="C72" s="40">
        <f>-PI()/4</f>
        <v>-0.78539816339744828</v>
      </c>
      <c r="D72" s="40">
        <v>5</v>
      </c>
      <c r="E72" s="40">
        <v>3</v>
      </c>
      <c r="F72" s="16">
        <f t="shared" si="271"/>
        <v>5.8309518948453007</v>
      </c>
      <c r="G72" s="16">
        <f t="shared" si="236"/>
        <v>4.2874646285627209</v>
      </c>
      <c r="H72" s="16">
        <f t="shared" si="237"/>
        <v>3</v>
      </c>
      <c r="I72" s="16">
        <f t="shared" si="238"/>
        <v>1.1661903789690602</v>
      </c>
      <c r="J72" s="92">
        <f t="shared" si="239"/>
        <v>5</v>
      </c>
      <c r="K72" s="67">
        <v>0</v>
      </c>
      <c r="L72" s="68">
        <v>0</v>
      </c>
      <c r="M72" s="69">
        <f t="shared" si="240"/>
        <v>3</v>
      </c>
      <c r="N72" s="67">
        <f t="shared" si="241"/>
        <v>5.8309518948453007</v>
      </c>
      <c r="O72" s="67">
        <v>0</v>
      </c>
      <c r="P72" s="68">
        <f t="shared" si="242"/>
        <v>4.2874646285627209</v>
      </c>
      <c r="Q72" s="69">
        <v>0</v>
      </c>
      <c r="R72" s="67">
        <f t="shared" si="243"/>
        <v>4.2874646285627209</v>
      </c>
      <c r="S72" s="93">
        <v>1</v>
      </c>
      <c r="T72" s="92">
        <f t="shared" si="244"/>
        <v>-5</v>
      </c>
      <c r="U72" s="67">
        <v>0</v>
      </c>
      <c r="V72" s="68">
        <v>0</v>
      </c>
      <c r="W72" s="69">
        <f t="shared" si="245"/>
        <v>-3</v>
      </c>
      <c r="X72" s="67">
        <f t="shared" si="246"/>
        <v>-5.8309518948453007</v>
      </c>
      <c r="Y72" s="67">
        <v>0</v>
      </c>
      <c r="Z72" s="68">
        <f t="shared" si="247"/>
        <v>-4.2874646285627209</v>
      </c>
      <c r="AA72" s="69">
        <v>0</v>
      </c>
      <c r="AB72" s="67">
        <f t="shared" si="248"/>
        <v>-4.2874646285627209</v>
      </c>
      <c r="AC72" s="93">
        <v>1</v>
      </c>
      <c r="AD72" s="102">
        <f t="shared" si="249"/>
        <v>0</v>
      </c>
      <c r="AE72" s="102">
        <f t="shared" si="250"/>
        <v>0</v>
      </c>
      <c r="AF72" s="102">
        <f t="shared" si="251"/>
        <v>-0.78539816339744828</v>
      </c>
      <c r="AG72" s="102">
        <f t="shared" si="252"/>
        <v>-45</v>
      </c>
      <c r="AH72" s="92">
        <f>ROUND(J72*COS($AF72)-K72*SIN($AF72)+$AD72,6)</f>
        <v>3.5355340000000002</v>
      </c>
      <c r="AI72" s="67">
        <f>ROUND(J72*SIN($AF72)+K72*COS($AF72)+$AE72,6)</f>
        <v>-3.5355340000000002</v>
      </c>
      <c r="AJ72" s="68">
        <f>ROUND(L72*COS($AF72)-M72*SIN($AF72)+$AD72,6)</f>
        <v>2.1213199999999999</v>
      </c>
      <c r="AK72" s="69">
        <f>ROUND(L72*SIN($AF72)+M72*COS($AF72)+$AE72,6)</f>
        <v>2.1213199999999999</v>
      </c>
      <c r="AL72" s="67">
        <f>ROUND(N72*COS($AF72)-O72*SIN($AF72)+$AD72,6)</f>
        <v>4.1231059999999999</v>
      </c>
      <c r="AM72" s="67">
        <f>ROUND(N72*SIN($AF72)+O72*COS($AF72)+$AE72,6)</f>
        <v>-4.1231059999999999</v>
      </c>
      <c r="AN72" s="68">
        <f>ROUND(P72*COS($AF72)-Q72*SIN($AF72)+$AD72,6)</f>
        <v>3.031695</v>
      </c>
      <c r="AO72" s="69">
        <f>ROUND(P72*SIN($AF72)+Q72*COS($AF72)+$AE72,6)</f>
        <v>-3.031695</v>
      </c>
      <c r="AP72" s="67">
        <f>ROUND(R72*COS($AF72)-S72*SIN($AF72)+$AD72,6)</f>
        <v>3.7388020000000002</v>
      </c>
      <c r="AQ72" s="93">
        <f>ROUND(R72*SIN($AF72)+S72*COS($AF72)+$AE72,6)</f>
        <v>-2.324589</v>
      </c>
      <c r="AR72" s="92">
        <f>ROUND(T72*COS($AF72)-U72*SIN($AF72)+$AD72,6)</f>
        <v>-3.5355340000000002</v>
      </c>
      <c r="AS72" s="67">
        <f>ROUND(T72*SIN($AF72)+U72*COS($AF72)+$AE72,6)</f>
        <v>3.5355340000000002</v>
      </c>
      <c r="AT72" s="68">
        <f>ROUND(V72*COS($AF72)-W72*SIN($AF72)+$AD72,6)</f>
        <v>-2.1213199999999999</v>
      </c>
      <c r="AU72" s="69">
        <f>ROUND(V72*SIN($AF72)+W72*COS($AF72)+$AE72,6)</f>
        <v>-2.1213199999999999</v>
      </c>
      <c r="AV72" s="67">
        <f>ROUND(X72*COS($AF72)-Y72*SIN($AF72)+$AD72,6)</f>
        <v>-4.1231059999999999</v>
      </c>
      <c r="AW72" s="67">
        <f>ROUND(X72*SIN($AF72)+Y72*COS($AF72)+$AE72,6)</f>
        <v>4.1231059999999999</v>
      </c>
      <c r="AX72" s="68">
        <f>ROUND(Z72*COS($AF72)-AA72*SIN($AF72)+$AD72,6)</f>
        <v>-3.031695</v>
      </c>
      <c r="AY72" s="69">
        <f>ROUND(Z72*SIN($AF72)+AA72*COS($AF72)+$AE72,6)</f>
        <v>3.031695</v>
      </c>
      <c r="AZ72" s="67">
        <f>ROUND(AB72*COS($AF72)-AC72*SIN($AF72)+$AD72,6)</f>
        <v>-2.324589</v>
      </c>
      <c r="BA72" s="93">
        <f>ROUND(AB72*SIN($AF72)+AC72*COS($AF72)+$AE72,6)</f>
        <v>3.7388020000000002</v>
      </c>
      <c r="BC72" s="21" t="s">
        <v>498</v>
      </c>
    </row>
    <row r="73" spans="1:55" s="16" customFormat="1" x14ac:dyDescent="0.3">
      <c r="A73" s="40">
        <v>0</v>
      </c>
      <c r="B73" s="40">
        <v>0</v>
      </c>
      <c r="C73" s="40">
        <f>PI()/2</f>
        <v>1.5707963267948966</v>
      </c>
      <c r="D73" s="40">
        <v>5</v>
      </c>
      <c r="E73" s="40">
        <v>3</v>
      </c>
      <c r="F73" s="16">
        <f t="shared" si="271"/>
        <v>5.8309518948453007</v>
      </c>
      <c r="G73" s="16">
        <f t="shared" si="236"/>
        <v>4.2874646285627209</v>
      </c>
      <c r="H73" s="16">
        <f t="shared" si="237"/>
        <v>3</v>
      </c>
      <c r="I73" s="16">
        <f t="shared" si="238"/>
        <v>1.1661903789690602</v>
      </c>
      <c r="J73" s="92">
        <f t="shared" si="239"/>
        <v>5</v>
      </c>
      <c r="K73" s="67">
        <v>0</v>
      </c>
      <c r="L73" s="68">
        <v>0</v>
      </c>
      <c r="M73" s="69">
        <f t="shared" si="240"/>
        <v>3</v>
      </c>
      <c r="N73" s="67">
        <f t="shared" si="241"/>
        <v>5.8309518948453007</v>
      </c>
      <c r="O73" s="67">
        <v>0</v>
      </c>
      <c r="P73" s="68">
        <f t="shared" si="242"/>
        <v>4.2874646285627209</v>
      </c>
      <c r="Q73" s="69">
        <v>0</v>
      </c>
      <c r="R73" s="67">
        <f t="shared" si="243"/>
        <v>4.2874646285627209</v>
      </c>
      <c r="S73" s="93">
        <v>1</v>
      </c>
      <c r="T73" s="92">
        <f t="shared" si="244"/>
        <v>-5</v>
      </c>
      <c r="U73" s="67">
        <v>0</v>
      </c>
      <c r="V73" s="68">
        <v>0</v>
      </c>
      <c r="W73" s="69">
        <f t="shared" si="245"/>
        <v>-3</v>
      </c>
      <c r="X73" s="67">
        <f t="shared" si="246"/>
        <v>-5.8309518948453007</v>
      </c>
      <c r="Y73" s="67">
        <v>0</v>
      </c>
      <c r="Z73" s="68">
        <f t="shared" si="247"/>
        <v>-4.2874646285627209</v>
      </c>
      <c r="AA73" s="69">
        <v>0</v>
      </c>
      <c r="AB73" s="67">
        <f t="shared" si="248"/>
        <v>-4.2874646285627209</v>
      </c>
      <c r="AC73" s="93">
        <v>1</v>
      </c>
      <c r="AD73" s="102">
        <f t="shared" si="249"/>
        <v>0</v>
      </c>
      <c r="AE73" s="102">
        <f t="shared" si="250"/>
        <v>0</v>
      </c>
      <c r="AF73" s="102">
        <f t="shared" si="251"/>
        <v>1.5707963267948966</v>
      </c>
      <c r="AG73" s="102">
        <f t="shared" si="252"/>
        <v>90</v>
      </c>
      <c r="AH73" s="92">
        <f t="shared" ref="AH73" si="274">ROUND(J73*COS($AF73)-K73*SIN($AF73)+$AD73,6)</f>
        <v>0</v>
      </c>
      <c r="AI73" s="67">
        <f t="shared" ref="AI73" si="275">ROUND(J73*SIN($AF73)+K73*COS($AF73)+$AE73,6)</f>
        <v>5</v>
      </c>
      <c r="AJ73" s="68">
        <f t="shared" ref="AJ73" si="276">ROUND(L73*COS($AF73)-M73*SIN($AF73)+$AD73,6)</f>
        <v>-3</v>
      </c>
      <c r="AK73" s="69">
        <f t="shared" ref="AK73" si="277">ROUND(L73*SIN($AF73)+M73*COS($AF73)+$AE73,6)</f>
        <v>0</v>
      </c>
      <c r="AL73" s="67">
        <f t="shared" ref="AL73" si="278">ROUND(N73*COS($AF73)-O73*SIN($AF73)+$AD73,6)</f>
        <v>0</v>
      </c>
      <c r="AM73" s="67">
        <f t="shared" ref="AM73" si="279">ROUND(N73*SIN($AF73)+O73*COS($AF73)+$AE73,6)</f>
        <v>5.8309519999999999</v>
      </c>
      <c r="AN73" s="68">
        <f t="shared" ref="AN73" si="280">ROUND(P73*COS($AF73)-Q73*SIN($AF73)+$AD73,6)</f>
        <v>0</v>
      </c>
      <c r="AO73" s="69">
        <f t="shared" ref="AO73" si="281">ROUND(P73*SIN($AF73)+Q73*COS($AF73)+$AE73,6)</f>
        <v>4.2874650000000001</v>
      </c>
      <c r="AP73" s="67">
        <f t="shared" ref="AP73" si="282">ROUND(R73*COS($AF73)-S73*SIN($AF73)+$AD73,6)</f>
        <v>-1</v>
      </c>
      <c r="AQ73" s="93">
        <f t="shared" ref="AQ73" si="283">ROUND(R73*SIN($AF73)+S73*COS($AF73)+$AE73,6)</f>
        <v>4.2874650000000001</v>
      </c>
      <c r="AR73" s="92">
        <f t="shared" ref="AR73" si="284">ROUND(T73*COS($AF73)-U73*SIN($AF73)+$AD73,6)</f>
        <v>0</v>
      </c>
      <c r="AS73" s="67">
        <f t="shared" ref="AS73" si="285">ROUND(T73*SIN($AF73)+U73*COS($AF73)+$AE73,6)</f>
        <v>-5</v>
      </c>
      <c r="AT73" s="68">
        <f t="shared" ref="AT73" si="286">ROUND(V73*COS($AF73)-W73*SIN($AF73)+$AD73,6)</f>
        <v>3</v>
      </c>
      <c r="AU73" s="69">
        <f t="shared" ref="AU73" si="287">ROUND(V73*SIN($AF73)+W73*COS($AF73)+$AE73,6)</f>
        <v>0</v>
      </c>
      <c r="AV73" s="67">
        <f t="shared" ref="AV73" si="288">ROUND(X73*COS($AF73)-Y73*SIN($AF73)+$AD73,6)</f>
        <v>0</v>
      </c>
      <c r="AW73" s="67">
        <f t="shared" ref="AW73" si="289">ROUND(X73*SIN($AF73)+Y73*COS($AF73)+$AE73,6)</f>
        <v>-5.8309519999999999</v>
      </c>
      <c r="AX73" s="68">
        <f t="shared" ref="AX73" si="290">ROUND(Z73*COS($AF73)-AA73*SIN($AF73)+$AD73,6)</f>
        <v>0</v>
      </c>
      <c r="AY73" s="69">
        <f t="shared" ref="AY73" si="291">ROUND(Z73*SIN($AF73)+AA73*COS($AF73)+$AE73,6)</f>
        <v>-4.2874650000000001</v>
      </c>
      <c r="AZ73" s="67">
        <f t="shared" ref="AZ73" si="292">ROUND(AB73*COS($AF73)-AC73*SIN($AF73)+$AD73,6)</f>
        <v>-1</v>
      </c>
      <c r="BA73" s="93">
        <f t="shared" ref="BA73" si="293">ROUND(AB73*SIN($AF73)+AC73*COS($AF73)+$AE73,6)</f>
        <v>-4.2874650000000001</v>
      </c>
      <c r="BC73" s="21" t="s">
        <v>496</v>
      </c>
    </row>
    <row r="74" spans="1:55" s="16" customFormat="1" x14ac:dyDescent="0.3">
      <c r="A74" s="40">
        <v>0</v>
      </c>
      <c r="B74" s="40">
        <v>0</v>
      </c>
      <c r="C74" s="40">
        <f>-PI()/2</f>
        <v>-1.5707963267948966</v>
      </c>
      <c r="D74" s="40">
        <v>5</v>
      </c>
      <c r="E74" s="40">
        <v>3</v>
      </c>
      <c r="F74" s="16">
        <f t="shared" si="271"/>
        <v>5.8309518948453007</v>
      </c>
      <c r="G74" s="16">
        <f t="shared" si="236"/>
        <v>4.2874646285627209</v>
      </c>
      <c r="H74" s="16">
        <f t="shared" si="237"/>
        <v>3</v>
      </c>
      <c r="I74" s="16">
        <f t="shared" si="238"/>
        <v>1.1661903789690602</v>
      </c>
      <c r="J74" s="92">
        <f t="shared" si="239"/>
        <v>5</v>
      </c>
      <c r="K74" s="67">
        <v>0</v>
      </c>
      <c r="L74" s="68">
        <v>0</v>
      </c>
      <c r="M74" s="69">
        <f t="shared" si="240"/>
        <v>3</v>
      </c>
      <c r="N74" s="67">
        <f t="shared" si="241"/>
        <v>5.8309518948453007</v>
      </c>
      <c r="O74" s="67">
        <v>0</v>
      </c>
      <c r="P74" s="68">
        <f t="shared" si="242"/>
        <v>4.2874646285627209</v>
      </c>
      <c r="Q74" s="69">
        <v>0</v>
      </c>
      <c r="R74" s="67">
        <f t="shared" si="243"/>
        <v>4.2874646285627209</v>
      </c>
      <c r="S74" s="93">
        <v>1</v>
      </c>
      <c r="T74" s="92">
        <f t="shared" si="244"/>
        <v>-5</v>
      </c>
      <c r="U74" s="67">
        <v>0</v>
      </c>
      <c r="V74" s="68">
        <v>0</v>
      </c>
      <c r="W74" s="69">
        <f t="shared" si="245"/>
        <v>-3</v>
      </c>
      <c r="X74" s="67">
        <f t="shared" si="246"/>
        <v>-5.8309518948453007</v>
      </c>
      <c r="Y74" s="67">
        <v>0</v>
      </c>
      <c r="Z74" s="68">
        <f t="shared" si="247"/>
        <v>-4.2874646285627209</v>
      </c>
      <c r="AA74" s="69">
        <v>0</v>
      </c>
      <c r="AB74" s="67">
        <f t="shared" si="248"/>
        <v>-4.2874646285627209</v>
      </c>
      <c r="AC74" s="93">
        <v>1</v>
      </c>
      <c r="AD74" s="102">
        <f t="shared" si="249"/>
        <v>0</v>
      </c>
      <c r="AE74" s="102">
        <f t="shared" si="250"/>
        <v>0</v>
      </c>
      <c r="AF74" s="102">
        <f t="shared" si="251"/>
        <v>-1.5707963267948966</v>
      </c>
      <c r="AG74" s="102">
        <f t="shared" si="252"/>
        <v>-90</v>
      </c>
      <c r="AH74" s="92">
        <f>ROUND(J74*COS($AF74)-K74*SIN($AF74)+$AD74,6)</f>
        <v>0</v>
      </c>
      <c r="AI74" s="67">
        <f>ROUND(J74*SIN($AF74)+K74*COS($AF74)+$AE74,6)</f>
        <v>-5</v>
      </c>
      <c r="AJ74" s="68">
        <f>ROUND(L74*COS($AF74)-M74*SIN($AF74)+$AD74,6)</f>
        <v>3</v>
      </c>
      <c r="AK74" s="69">
        <f>ROUND(L74*SIN($AF74)+M74*COS($AF74)+$AE74,6)</f>
        <v>0</v>
      </c>
      <c r="AL74" s="67">
        <f>ROUND(N74*COS($AF74)-O74*SIN($AF74)+$AD74,6)</f>
        <v>0</v>
      </c>
      <c r="AM74" s="67">
        <f>ROUND(N74*SIN($AF74)+O74*COS($AF74)+$AE74,6)</f>
        <v>-5.8309519999999999</v>
      </c>
      <c r="AN74" s="68">
        <f>ROUND(P74*COS($AF74)-Q74*SIN($AF74)+$AD74,6)</f>
        <v>0</v>
      </c>
      <c r="AO74" s="69">
        <f>ROUND(P74*SIN($AF74)+Q74*COS($AF74)+$AE74,6)</f>
        <v>-4.2874650000000001</v>
      </c>
      <c r="AP74" s="67">
        <f>ROUND(R74*COS($AF74)-S74*SIN($AF74)+$AD74,6)</f>
        <v>1</v>
      </c>
      <c r="AQ74" s="93">
        <f>ROUND(R74*SIN($AF74)+S74*COS($AF74)+$AE74,6)</f>
        <v>-4.2874650000000001</v>
      </c>
      <c r="AR74" s="92">
        <f>ROUND(T74*COS($AF74)-U74*SIN($AF74)+$AD74,6)</f>
        <v>0</v>
      </c>
      <c r="AS74" s="67">
        <f>ROUND(T74*SIN($AF74)+U74*COS($AF74)+$AE74,6)</f>
        <v>5</v>
      </c>
      <c r="AT74" s="68">
        <f>ROUND(V74*COS($AF74)-W74*SIN($AF74)+$AD74,6)</f>
        <v>-3</v>
      </c>
      <c r="AU74" s="69">
        <f>ROUND(V74*SIN($AF74)+W74*COS($AF74)+$AE74,6)</f>
        <v>0</v>
      </c>
      <c r="AV74" s="67">
        <f>ROUND(X74*COS($AF74)-Y74*SIN($AF74)+$AD74,6)</f>
        <v>0</v>
      </c>
      <c r="AW74" s="67">
        <f>ROUND(X74*SIN($AF74)+Y74*COS($AF74)+$AE74,6)</f>
        <v>5.8309519999999999</v>
      </c>
      <c r="AX74" s="68">
        <f>ROUND(Z74*COS($AF74)-AA74*SIN($AF74)+$AD74,6)</f>
        <v>0</v>
      </c>
      <c r="AY74" s="69">
        <f>ROUND(Z74*SIN($AF74)+AA74*COS($AF74)+$AE74,6)</f>
        <v>4.2874650000000001</v>
      </c>
      <c r="AZ74" s="67">
        <f>ROUND(AB74*COS($AF74)-AC74*SIN($AF74)+$AD74,6)</f>
        <v>1</v>
      </c>
      <c r="BA74" s="93">
        <f>ROUND(AB74*SIN($AF74)+AC74*COS($AF74)+$AE74,6)</f>
        <v>4.2874650000000001</v>
      </c>
      <c r="BC74" s="21" t="s">
        <v>499</v>
      </c>
    </row>
    <row r="75" spans="1:55" s="16" customFormat="1" x14ac:dyDescent="0.3">
      <c r="A75" s="40">
        <v>0</v>
      </c>
      <c r="B75" s="40">
        <v>0</v>
      </c>
      <c r="C75" s="40">
        <f>PI()</f>
        <v>3.1415926535897931</v>
      </c>
      <c r="D75" s="40">
        <v>5</v>
      </c>
      <c r="E75" s="40">
        <v>3</v>
      </c>
      <c r="F75" s="16">
        <f t="shared" si="271"/>
        <v>5.8309518948453007</v>
      </c>
      <c r="G75" s="16">
        <f t="shared" si="236"/>
        <v>4.2874646285627209</v>
      </c>
      <c r="H75" s="16">
        <f t="shared" si="237"/>
        <v>3</v>
      </c>
      <c r="I75" s="16">
        <f t="shared" si="238"/>
        <v>1.1661903789690602</v>
      </c>
      <c r="J75" s="92">
        <f t="shared" si="239"/>
        <v>5</v>
      </c>
      <c r="K75" s="67">
        <v>0</v>
      </c>
      <c r="L75" s="68">
        <v>0</v>
      </c>
      <c r="M75" s="69">
        <f t="shared" si="240"/>
        <v>3</v>
      </c>
      <c r="N75" s="67">
        <f t="shared" si="241"/>
        <v>5.8309518948453007</v>
      </c>
      <c r="O75" s="67">
        <v>0</v>
      </c>
      <c r="P75" s="68">
        <f t="shared" si="242"/>
        <v>4.2874646285627209</v>
      </c>
      <c r="Q75" s="69">
        <v>0</v>
      </c>
      <c r="R75" s="67">
        <f t="shared" si="243"/>
        <v>4.2874646285627209</v>
      </c>
      <c r="S75" s="93">
        <v>1</v>
      </c>
      <c r="T75" s="92">
        <f t="shared" si="244"/>
        <v>-5</v>
      </c>
      <c r="U75" s="67">
        <v>0</v>
      </c>
      <c r="V75" s="68">
        <v>0</v>
      </c>
      <c r="W75" s="69">
        <f t="shared" si="245"/>
        <v>-3</v>
      </c>
      <c r="X75" s="67">
        <f t="shared" si="246"/>
        <v>-5.8309518948453007</v>
      </c>
      <c r="Y75" s="67">
        <v>0</v>
      </c>
      <c r="Z75" s="68">
        <f t="shared" si="247"/>
        <v>-4.2874646285627209</v>
      </c>
      <c r="AA75" s="69">
        <v>0</v>
      </c>
      <c r="AB75" s="67">
        <f t="shared" si="248"/>
        <v>-4.2874646285627209</v>
      </c>
      <c r="AC75" s="93">
        <v>1</v>
      </c>
      <c r="AD75" s="102">
        <f t="shared" si="249"/>
        <v>0</v>
      </c>
      <c r="AE75" s="102">
        <f t="shared" si="250"/>
        <v>0</v>
      </c>
      <c r="AF75" s="102">
        <f t="shared" si="251"/>
        <v>3.1415926535897931</v>
      </c>
      <c r="AG75" s="102">
        <f t="shared" si="252"/>
        <v>180</v>
      </c>
      <c r="AH75" s="92">
        <f t="shared" ref="AH75:AH77" si="294">ROUND(J75*COS($AF75)-K75*SIN($AF75)+$AD75,6)</f>
        <v>-5</v>
      </c>
      <c r="AI75" s="67">
        <f t="shared" ref="AI75:AI77" si="295">ROUND(J75*SIN($AF75)+K75*COS($AF75)+$AE75,6)</f>
        <v>0</v>
      </c>
      <c r="AJ75" s="68">
        <f t="shared" ref="AJ75:AJ77" si="296">ROUND(L75*COS($AF75)-M75*SIN($AF75)+$AD75,6)</f>
        <v>0</v>
      </c>
      <c r="AK75" s="69">
        <f t="shared" ref="AK75:AK77" si="297">ROUND(L75*SIN($AF75)+M75*COS($AF75)+$AE75,6)</f>
        <v>-3</v>
      </c>
      <c r="AL75" s="67">
        <f t="shared" ref="AL75:AL77" si="298">ROUND(N75*COS($AF75)-O75*SIN($AF75)+$AD75,6)</f>
        <v>-5.8309519999999999</v>
      </c>
      <c r="AM75" s="67">
        <f t="shared" ref="AM75:AM77" si="299">ROUND(N75*SIN($AF75)+O75*COS($AF75)+$AE75,6)</f>
        <v>0</v>
      </c>
      <c r="AN75" s="68">
        <f t="shared" ref="AN75:AN77" si="300">ROUND(P75*COS($AF75)-Q75*SIN($AF75)+$AD75,6)</f>
        <v>-4.2874650000000001</v>
      </c>
      <c r="AO75" s="69">
        <f t="shared" ref="AO75:AO77" si="301">ROUND(P75*SIN($AF75)+Q75*COS($AF75)+$AE75,6)</f>
        <v>0</v>
      </c>
      <c r="AP75" s="67">
        <f t="shared" ref="AP75:AP77" si="302">ROUND(R75*COS($AF75)-S75*SIN($AF75)+$AD75,6)</f>
        <v>-4.2874650000000001</v>
      </c>
      <c r="AQ75" s="93">
        <f t="shared" ref="AQ75:AQ77" si="303">ROUND(R75*SIN($AF75)+S75*COS($AF75)+$AE75,6)</f>
        <v>-1</v>
      </c>
      <c r="AR75" s="92">
        <f t="shared" ref="AR75:AR77" si="304">ROUND(T75*COS($AF75)-U75*SIN($AF75)+$AD75,6)</f>
        <v>5</v>
      </c>
      <c r="AS75" s="67">
        <f t="shared" ref="AS75:AS77" si="305">ROUND(T75*SIN($AF75)+U75*COS($AF75)+$AE75,6)</f>
        <v>0</v>
      </c>
      <c r="AT75" s="68">
        <f t="shared" ref="AT75:AT77" si="306">ROUND(V75*COS($AF75)-W75*SIN($AF75)+$AD75,6)</f>
        <v>0</v>
      </c>
      <c r="AU75" s="69">
        <f t="shared" ref="AU75:AU77" si="307">ROUND(V75*SIN($AF75)+W75*COS($AF75)+$AE75,6)</f>
        <v>3</v>
      </c>
      <c r="AV75" s="67">
        <f t="shared" ref="AV75:AV77" si="308">ROUND(X75*COS($AF75)-Y75*SIN($AF75)+$AD75,6)</f>
        <v>5.8309519999999999</v>
      </c>
      <c r="AW75" s="67">
        <f t="shared" ref="AW75:AW77" si="309">ROUND(X75*SIN($AF75)+Y75*COS($AF75)+$AE75,6)</f>
        <v>0</v>
      </c>
      <c r="AX75" s="68">
        <f t="shared" ref="AX75:AX77" si="310">ROUND(Z75*COS($AF75)-AA75*SIN($AF75)+$AD75,6)</f>
        <v>4.2874650000000001</v>
      </c>
      <c r="AY75" s="69">
        <f t="shared" ref="AY75:AY77" si="311">ROUND(Z75*SIN($AF75)+AA75*COS($AF75)+$AE75,6)</f>
        <v>0</v>
      </c>
      <c r="AZ75" s="67">
        <f t="shared" ref="AZ75:AZ77" si="312">ROUND(AB75*COS($AF75)-AC75*SIN($AF75)+$AD75,6)</f>
        <v>4.2874650000000001</v>
      </c>
      <c r="BA75" s="93">
        <f t="shared" ref="BA75:BA77" si="313">ROUND(AB75*SIN($AF75)+AC75*COS($AF75)+$AE75,6)</f>
        <v>-1</v>
      </c>
      <c r="BC75" s="21" t="s">
        <v>497</v>
      </c>
    </row>
    <row r="76" spans="1:55" s="16" customFormat="1" x14ac:dyDescent="0.3">
      <c r="A76" s="40">
        <v>0</v>
      </c>
      <c r="B76" s="40">
        <v>0</v>
      </c>
      <c r="C76" s="40">
        <f>-PI()</f>
        <v>-3.1415926535897931</v>
      </c>
      <c r="D76" s="40">
        <v>5</v>
      </c>
      <c r="E76" s="40">
        <v>3</v>
      </c>
      <c r="F76" s="16">
        <f t="shared" si="271"/>
        <v>5.8309518948453007</v>
      </c>
      <c r="G76" s="16">
        <f t="shared" si="236"/>
        <v>4.2874646285627209</v>
      </c>
      <c r="H76" s="16">
        <f t="shared" si="237"/>
        <v>3</v>
      </c>
      <c r="I76" s="16">
        <f t="shared" si="238"/>
        <v>1.1661903789690602</v>
      </c>
      <c r="J76" s="92">
        <f t="shared" si="239"/>
        <v>5</v>
      </c>
      <c r="K76" s="67">
        <v>0</v>
      </c>
      <c r="L76" s="68">
        <v>0</v>
      </c>
      <c r="M76" s="69">
        <f t="shared" si="240"/>
        <v>3</v>
      </c>
      <c r="N76" s="67">
        <f t="shared" si="241"/>
        <v>5.8309518948453007</v>
      </c>
      <c r="O76" s="67">
        <v>0</v>
      </c>
      <c r="P76" s="68">
        <f t="shared" si="242"/>
        <v>4.2874646285627209</v>
      </c>
      <c r="Q76" s="69">
        <v>0</v>
      </c>
      <c r="R76" s="67">
        <f t="shared" si="243"/>
        <v>4.2874646285627209</v>
      </c>
      <c r="S76" s="93">
        <v>1</v>
      </c>
      <c r="T76" s="92">
        <f t="shared" si="244"/>
        <v>-5</v>
      </c>
      <c r="U76" s="67">
        <v>0</v>
      </c>
      <c r="V76" s="68">
        <v>0</v>
      </c>
      <c r="W76" s="69">
        <f t="shared" si="245"/>
        <v>-3</v>
      </c>
      <c r="X76" s="67">
        <f t="shared" si="246"/>
        <v>-5.8309518948453007</v>
      </c>
      <c r="Y76" s="67">
        <v>0</v>
      </c>
      <c r="Z76" s="68">
        <f t="shared" si="247"/>
        <v>-4.2874646285627209</v>
      </c>
      <c r="AA76" s="69">
        <v>0</v>
      </c>
      <c r="AB76" s="67">
        <f t="shared" si="248"/>
        <v>-4.2874646285627209</v>
      </c>
      <c r="AC76" s="93">
        <v>1</v>
      </c>
      <c r="AD76" s="102">
        <f t="shared" si="249"/>
        <v>0</v>
      </c>
      <c r="AE76" s="102">
        <f t="shared" si="250"/>
        <v>0</v>
      </c>
      <c r="AF76" s="102">
        <f t="shared" si="251"/>
        <v>-3.1415926535897931</v>
      </c>
      <c r="AG76" s="102">
        <f t="shared" si="252"/>
        <v>-180</v>
      </c>
      <c r="AH76" s="92">
        <f t="shared" si="294"/>
        <v>-5</v>
      </c>
      <c r="AI76" s="67">
        <f t="shared" si="295"/>
        <v>0</v>
      </c>
      <c r="AJ76" s="68">
        <f t="shared" si="296"/>
        <v>0</v>
      </c>
      <c r="AK76" s="69">
        <f t="shared" si="297"/>
        <v>-3</v>
      </c>
      <c r="AL76" s="67">
        <f t="shared" si="298"/>
        <v>-5.8309519999999999</v>
      </c>
      <c r="AM76" s="67">
        <f t="shared" si="299"/>
        <v>0</v>
      </c>
      <c r="AN76" s="68">
        <f t="shared" si="300"/>
        <v>-4.2874650000000001</v>
      </c>
      <c r="AO76" s="69">
        <f t="shared" si="301"/>
        <v>0</v>
      </c>
      <c r="AP76" s="67">
        <f t="shared" si="302"/>
        <v>-4.2874650000000001</v>
      </c>
      <c r="AQ76" s="93">
        <f t="shared" si="303"/>
        <v>-1</v>
      </c>
      <c r="AR76" s="92">
        <f t="shared" si="304"/>
        <v>5</v>
      </c>
      <c r="AS76" s="67">
        <f t="shared" si="305"/>
        <v>0</v>
      </c>
      <c r="AT76" s="68">
        <f t="shared" si="306"/>
        <v>0</v>
      </c>
      <c r="AU76" s="69">
        <f t="shared" si="307"/>
        <v>3</v>
      </c>
      <c r="AV76" s="67">
        <f t="shared" si="308"/>
        <v>5.8309519999999999</v>
      </c>
      <c r="AW76" s="67">
        <f t="shared" si="309"/>
        <v>0</v>
      </c>
      <c r="AX76" s="68">
        <f t="shared" si="310"/>
        <v>4.2874650000000001</v>
      </c>
      <c r="AY76" s="69">
        <f t="shared" si="311"/>
        <v>0</v>
      </c>
      <c r="AZ76" s="67">
        <f t="shared" si="312"/>
        <v>4.2874650000000001</v>
      </c>
      <c r="BA76" s="93">
        <f t="shared" si="313"/>
        <v>-1</v>
      </c>
      <c r="BC76" s="21" t="s">
        <v>500</v>
      </c>
    </row>
    <row r="77" spans="1:55" s="16" customFormat="1" x14ac:dyDescent="0.3">
      <c r="A77" s="40">
        <v>4</v>
      </c>
      <c r="B77" s="40">
        <v>5</v>
      </c>
      <c r="C77" s="40">
        <f>PI()/4</f>
        <v>0.78539816339744828</v>
      </c>
      <c r="D77" s="40">
        <v>5</v>
      </c>
      <c r="E77" s="40">
        <v>3</v>
      </c>
      <c r="F77" s="16">
        <f t="shared" si="271"/>
        <v>5.8309518948453007</v>
      </c>
      <c r="G77" s="16">
        <f t="shared" si="236"/>
        <v>4.2874646285627209</v>
      </c>
      <c r="H77" s="16">
        <f t="shared" si="237"/>
        <v>3</v>
      </c>
      <c r="I77" s="16">
        <f t="shared" si="238"/>
        <v>1.1661903789690602</v>
      </c>
      <c r="J77" s="92">
        <f t="shared" si="239"/>
        <v>5</v>
      </c>
      <c r="K77" s="67">
        <v>0</v>
      </c>
      <c r="L77" s="68">
        <v>0</v>
      </c>
      <c r="M77" s="69">
        <f t="shared" si="240"/>
        <v>3</v>
      </c>
      <c r="N77" s="67">
        <f t="shared" si="241"/>
        <v>5.8309518948453007</v>
      </c>
      <c r="O77" s="67">
        <v>0</v>
      </c>
      <c r="P77" s="68">
        <f t="shared" si="242"/>
        <v>4.2874646285627209</v>
      </c>
      <c r="Q77" s="69">
        <v>0</v>
      </c>
      <c r="R77" s="67">
        <f t="shared" si="243"/>
        <v>4.2874646285627209</v>
      </c>
      <c r="S77" s="93">
        <v>1</v>
      </c>
      <c r="T77" s="92">
        <f t="shared" si="244"/>
        <v>-5</v>
      </c>
      <c r="U77" s="67">
        <v>0</v>
      </c>
      <c r="V77" s="68">
        <v>0</v>
      </c>
      <c r="W77" s="69">
        <f t="shared" si="245"/>
        <v>-3</v>
      </c>
      <c r="X77" s="67">
        <f t="shared" si="246"/>
        <v>-5.8309518948453007</v>
      </c>
      <c r="Y77" s="67">
        <v>0</v>
      </c>
      <c r="Z77" s="68">
        <f t="shared" si="247"/>
        <v>-4.2874646285627209</v>
      </c>
      <c r="AA77" s="69">
        <v>0</v>
      </c>
      <c r="AB77" s="67">
        <f t="shared" si="248"/>
        <v>-4.2874646285627209</v>
      </c>
      <c r="AC77" s="93">
        <v>1</v>
      </c>
      <c r="AD77" s="102">
        <f t="shared" si="249"/>
        <v>4</v>
      </c>
      <c r="AE77" s="102">
        <f t="shared" si="250"/>
        <v>5</v>
      </c>
      <c r="AF77" s="102">
        <f t="shared" si="251"/>
        <v>0.78539816339744828</v>
      </c>
      <c r="AG77" s="102">
        <f t="shared" si="252"/>
        <v>45</v>
      </c>
      <c r="AH77" s="92">
        <f t="shared" si="294"/>
        <v>7.5355340000000002</v>
      </c>
      <c r="AI77" s="67">
        <f t="shared" si="295"/>
        <v>8.5355340000000002</v>
      </c>
      <c r="AJ77" s="68">
        <f t="shared" si="296"/>
        <v>1.8786799999999999</v>
      </c>
      <c r="AK77" s="69">
        <f t="shared" si="297"/>
        <v>7.1213199999999999</v>
      </c>
      <c r="AL77" s="67">
        <f t="shared" si="298"/>
        <v>8.1231059999999999</v>
      </c>
      <c r="AM77" s="67">
        <f t="shared" si="299"/>
        <v>9.1231059999999999</v>
      </c>
      <c r="AN77" s="68">
        <f t="shared" si="300"/>
        <v>7.031695</v>
      </c>
      <c r="AO77" s="69">
        <f t="shared" si="301"/>
        <v>8.0316949999999991</v>
      </c>
      <c r="AP77" s="67">
        <f t="shared" si="302"/>
        <v>6.3245889999999996</v>
      </c>
      <c r="AQ77" s="93">
        <f t="shared" si="303"/>
        <v>8.7388019999999997</v>
      </c>
      <c r="AR77" s="92">
        <f t="shared" si="304"/>
        <v>0.46446599999999999</v>
      </c>
      <c r="AS77" s="67">
        <f t="shared" si="305"/>
        <v>1.464466</v>
      </c>
      <c r="AT77" s="68">
        <f t="shared" si="306"/>
        <v>6.1213199999999999</v>
      </c>
      <c r="AU77" s="69">
        <f t="shared" si="307"/>
        <v>2.8786800000000001</v>
      </c>
      <c r="AV77" s="67">
        <f t="shared" si="308"/>
        <v>-0.12310599999999999</v>
      </c>
      <c r="AW77" s="67">
        <f t="shared" si="309"/>
        <v>0.87689399999999995</v>
      </c>
      <c r="AX77" s="68">
        <f t="shared" si="310"/>
        <v>0.96830499999999997</v>
      </c>
      <c r="AY77" s="69">
        <f t="shared" si="311"/>
        <v>1.968305</v>
      </c>
      <c r="AZ77" s="67">
        <f t="shared" si="312"/>
        <v>0.26119799999999999</v>
      </c>
      <c r="BA77" s="93">
        <f t="shared" si="313"/>
        <v>2.675411</v>
      </c>
      <c r="BC77" s="21" t="s">
        <v>501</v>
      </c>
    </row>
  </sheetData>
  <mergeCells count="107">
    <mergeCell ref="H3:I3"/>
    <mergeCell ref="J2:K2"/>
    <mergeCell ref="L2:M2"/>
    <mergeCell ref="A30:B30"/>
    <mergeCell ref="J30:K30"/>
    <mergeCell ref="L30:M30"/>
    <mergeCell ref="J12:S12"/>
    <mergeCell ref="A47:B47"/>
    <mergeCell ref="J47:K47"/>
    <mergeCell ref="L47:M47"/>
    <mergeCell ref="N47:O47"/>
    <mergeCell ref="P47:Q47"/>
    <mergeCell ref="R47:S47"/>
    <mergeCell ref="AJ30:AK30"/>
    <mergeCell ref="N30:O30"/>
    <mergeCell ref="P30:Q30"/>
    <mergeCell ref="R30:S30"/>
    <mergeCell ref="J29:S29"/>
    <mergeCell ref="AH29:AQ29"/>
    <mergeCell ref="AL30:AM30"/>
    <mergeCell ref="AN30:AO30"/>
    <mergeCell ref="AP30:AQ30"/>
    <mergeCell ref="T30:U30"/>
    <mergeCell ref="V30:W30"/>
    <mergeCell ref="X30:Y30"/>
    <mergeCell ref="T12:AC12"/>
    <mergeCell ref="AH12:AQ12"/>
    <mergeCell ref="AR12:BA12"/>
    <mergeCell ref="A13:B13"/>
    <mergeCell ref="J13:K13"/>
    <mergeCell ref="L13:M13"/>
    <mergeCell ref="N13:O13"/>
    <mergeCell ref="P13:Q13"/>
    <mergeCell ref="R13:S13"/>
    <mergeCell ref="T13:U13"/>
    <mergeCell ref="V13:W13"/>
    <mergeCell ref="X13:Y13"/>
    <mergeCell ref="Z13:AA13"/>
    <mergeCell ref="AB13:AC13"/>
    <mergeCell ref="AD13:AG13"/>
    <mergeCell ref="AH13:AI13"/>
    <mergeCell ref="AT13:AU13"/>
    <mergeCell ref="AV13:AW13"/>
    <mergeCell ref="AX13:AY13"/>
    <mergeCell ref="AZ13:BA13"/>
    <mergeCell ref="J46:S46"/>
    <mergeCell ref="T46:AC46"/>
    <mergeCell ref="AH46:AQ46"/>
    <mergeCell ref="AR46:BA46"/>
    <mergeCell ref="AJ13:AK13"/>
    <mergeCell ref="AL13:AM13"/>
    <mergeCell ref="AN13:AO13"/>
    <mergeCell ref="AP13:AQ13"/>
    <mergeCell ref="AR13:AS13"/>
    <mergeCell ref="Z30:AA30"/>
    <mergeCell ref="AB30:AC30"/>
    <mergeCell ref="T29:AC29"/>
    <mergeCell ref="AR29:BA29"/>
    <mergeCell ref="AR30:AS30"/>
    <mergeCell ref="AT30:AU30"/>
    <mergeCell ref="AV30:AW30"/>
    <mergeCell ref="AX30:AY30"/>
    <mergeCell ref="AZ30:BA30"/>
    <mergeCell ref="AD30:AG30"/>
    <mergeCell ref="AH30:AI30"/>
    <mergeCell ref="AZ47:BA47"/>
    <mergeCell ref="J63:S63"/>
    <mergeCell ref="T63:AC63"/>
    <mergeCell ref="AH63:AQ63"/>
    <mergeCell ref="AR63:BA63"/>
    <mergeCell ref="AP47:AQ47"/>
    <mergeCell ref="AR47:AS47"/>
    <mergeCell ref="AT47:AU47"/>
    <mergeCell ref="AV47:AW47"/>
    <mergeCell ref="AX47:AY47"/>
    <mergeCell ref="AD47:AG47"/>
    <mergeCell ref="AH47:AI47"/>
    <mergeCell ref="AJ47:AK47"/>
    <mergeCell ref="AL47:AM47"/>
    <mergeCell ref="AN47:AO47"/>
    <mergeCell ref="T47:U47"/>
    <mergeCell ref="V47:W47"/>
    <mergeCell ref="X47:Y47"/>
    <mergeCell ref="Z47:AA47"/>
    <mergeCell ref="AB47:AC47"/>
    <mergeCell ref="R64:S64"/>
    <mergeCell ref="T64:U64"/>
    <mergeCell ref="V64:W64"/>
    <mergeCell ref="X64:Y64"/>
    <mergeCell ref="Z64:AA64"/>
    <mergeCell ref="A64:B64"/>
    <mergeCell ref="J64:K64"/>
    <mergeCell ref="L64:M64"/>
    <mergeCell ref="N64:O64"/>
    <mergeCell ref="P64:Q64"/>
    <mergeCell ref="AX64:AY64"/>
    <mergeCell ref="AZ64:BA64"/>
    <mergeCell ref="AN64:AO64"/>
    <mergeCell ref="AP64:AQ64"/>
    <mergeCell ref="AR64:AS64"/>
    <mergeCell ref="AT64:AU64"/>
    <mergeCell ref="AV64:AW64"/>
    <mergeCell ref="AB64:AC64"/>
    <mergeCell ref="AD64:AG64"/>
    <mergeCell ref="AH64:AI64"/>
    <mergeCell ref="AJ64:AK64"/>
    <mergeCell ref="AL64:AM64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2FDD0-B09C-44F2-A24E-EA6282E0BF25}">
  <dimension ref="A1:X94"/>
  <sheetViews>
    <sheetView topLeftCell="A58" workbookViewId="0">
      <selection activeCell="R80" sqref="R80"/>
    </sheetView>
  </sheetViews>
  <sheetFormatPr defaultRowHeight="14.4" x14ac:dyDescent="0.3"/>
  <cols>
    <col min="3" max="3" width="12.6640625" bestFit="1" customWidth="1"/>
    <col min="13" max="13" width="11" customWidth="1"/>
  </cols>
  <sheetData>
    <row r="1" spans="1:15" s="2" customFormat="1" x14ac:dyDescent="0.3">
      <c r="A1" s="2" t="s">
        <v>502</v>
      </c>
    </row>
    <row r="2" spans="1:15" x14ac:dyDescent="0.3">
      <c r="A2" t="s">
        <v>293</v>
      </c>
      <c r="B2" t="s">
        <v>242</v>
      </c>
      <c r="C2" t="s">
        <v>150</v>
      </c>
    </row>
    <row r="3" spans="1:15" x14ac:dyDescent="0.3">
      <c r="A3">
        <v>0</v>
      </c>
      <c r="B3">
        <v>0</v>
      </c>
      <c r="C3">
        <f>A3*B3</f>
        <v>0</v>
      </c>
      <c r="E3" t="str">
        <f>"[TestCase("&amp;A3&amp;", "&amp;ROUND(B3,6)&amp;", "&amp;ROUND(C3,6)&amp;")]"</f>
        <v>[TestCase(0, 0, 0)]</v>
      </c>
      <c r="N3">
        <v>75</v>
      </c>
    </row>
    <row r="4" spans="1:15" x14ac:dyDescent="0.3">
      <c r="A4">
        <v>0</v>
      </c>
      <c r="B4">
        <f>PI()/4</f>
        <v>0.78539816339744828</v>
      </c>
      <c r="C4">
        <f t="shared" ref="C4:C13" si="0">A4*B4</f>
        <v>0</v>
      </c>
      <c r="E4" t="str">
        <f t="shared" ref="E4:E13" si="1">"[TestCase("&amp;A4&amp;", "&amp;ROUND(B4,6)&amp;", "&amp;ROUND(C4,6)&amp;")]"</f>
        <v>[TestCase(0, 0.785398, 0)]</v>
      </c>
      <c r="N4">
        <v>16</v>
      </c>
    </row>
    <row r="5" spans="1:15" x14ac:dyDescent="0.3">
      <c r="A5">
        <v>-1</v>
      </c>
      <c r="B5">
        <f t="shared" ref="B5:B8" si="2">PI()/4</f>
        <v>0.78539816339744828</v>
      </c>
      <c r="C5">
        <f t="shared" si="0"/>
        <v>-0.78539816339744828</v>
      </c>
      <c r="E5" t="str">
        <f t="shared" si="1"/>
        <v>[TestCase(-1, 0.785398, -0.785398)]</v>
      </c>
      <c r="N5">
        <f>N3+N4</f>
        <v>91</v>
      </c>
      <c r="O5">
        <v>114</v>
      </c>
    </row>
    <row r="6" spans="1:15" x14ac:dyDescent="0.3">
      <c r="A6">
        <v>1</v>
      </c>
      <c r="B6">
        <f t="shared" si="2"/>
        <v>0.78539816339744828</v>
      </c>
      <c r="C6">
        <f t="shared" si="0"/>
        <v>0.78539816339744828</v>
      </c>
      <c r="E6" t="str">
        <f t="shared" si="1"/>
        <v>[TestCase(1, 0.785398, 0.785398)]</v>
      </c>
      <c r="O6" s="106">
        <f>N5/O5</f>
        <v>0.79824561403508776</v>
      </c>
    </row>
    <row r="7" spans="1:15" x14ac:dyDescent="0.3">
      <c r="A7">
        <v>2</v>
      </c>
      <c r="B7">
        <f t="shared" si="2"/>
        <v>0.78539816339744828</v>
      </c>
      <c r="C7">
        <f t="shared" si="0"/>
        <v>1.5707963267948966</v>
      </c>
      <c r="E7" t="str">
        <f t="shared" si="1"/>
        <v>[TestCase(2, 0.785398, 1.570796)]</v>
      </c>
      <c r="N7">
        <v>10</v>
      </c>
    </row>
    <row r="8" spans="1:15" x14ac:dyDescent="0.3">
      <c r="A8">
        <v>-2</v>
      </c>
      <c r="B8">
        <f t="shared" si="2"/>
        <v>0.78539816339744828</v>
      </c>
      <c r="C8">
        <f t="shared" si="0"/>
        <v>-1.5707963267948966</v>
      </c>
      <c r="E8" t="str">
        <f t="shared" si="1"/>
        <v>[TestCase(-2, 0.785398, -1.570796)]</v>
      </c>
      <c r="N8">
        <f>N5+N7</f>
        <v>101</v>
      </c>
      <c r="O8" s="106">
        <f>N8/O5</f>
        <v>0.88596491228070173</v>
      </c>
    </row>
    <row r="9" spans="1:15" x14ac:dyDescent="0.3">
      <c r="A9">
        <v>2</v>
      </c>
      <c r="B9">
        <v>0</v>
      </c>
      <c r="C9">
        <f t="shared" si="0"/>
        <v>0</v>
      </c>
      <c r="E9" t="str">
        <f t="shared" si="1"/>
        <v>[TestCase(2, 0, 0)]</v>
      </c>
    </row>
    <row r="10" spans="1:15" x14ac:dyDescent="0.3">
      <c r="A10">
        <v>2</v>
      </c>
      <c r="B10">
        <f>PI()</f>
        <v>3.1415926535897931</v>
      </c>
      <c r="C10">
        <f t="shared" si="0"/>
        <v>6.2831853071795862</v>
      </c>
      <c r="E10" t="str">
        <f t="shared" si="1"/>
        <v>[TestCase(2, 3.141593, 6.283185)]</v>
      </c>
    </row>
    <row r="11" spans="1:15" x14ac:dyDescent="0.3">
      <c r="A11">
        <v>2</v>
      </c>
      <c r="B11">
        <f>2*PI()</f>
        <v>6.2831853071795862</v>
      </c>
      <c r="C11">
        <f t="shared" si="0"/>
        <v>12.566370614359172</v>
      </c>
      <c r="E11" t="str">
        <f t="shared" si="1"/>
        <v>[TestCase(2, 6.283185, 12.566371)]</v>
      </c>
    </row>
    <row r="12" spans="1:15" x14ac:dyDescent="0.3">
      <c r="A12">
        <v>2</v>
      </c>
      <c r="B12">
        <f>-PI()</f>
        <v>-3.1415926535897931</v>
      </c>
      <c r="C12">
        <f t="shared" si="0"/>
        <v>-6.2831853071795862</v>
      </c>
      <c r="E12" t="str">
        <f t="shared" si="1"/>
        <v>[TestCase(2, -3.141593, -6.283185)]</v>
      </c>
    </row>
    <row r="13" spans="1:15" x14ac:dyDescent="0.3">
      <c r="A13">
        <v>2</v>
      </c>
      <c r="B13">
        <f>-2*PI()</f>
        <v>-6.2831853071795862</v>
      </c>
      <c r="C13">
        <f t="shared" si="0"/>
        <v>-12.566370614359172</v>
      </c>
      <c r="E13" t="str">
        <f t="shared" si="1"/>
        <v>[TestCase(2, -6.283185, -12.566371)]</v>
      </c>
    </row>
    <row r="15" spans="1:15" x14ac:dyDescent="0.3">
      <c r="A15">
        <v>6</v>
      </c>
      <c r="B15">
        <v>0</v>
      </c>
      <c r="C15">
        <f>A15*B15</f>
        <v>0</v>
      </c>
      <c r="E15" t="str">
        <f>"[TestCase("&amp;ROUND(B15,6)&amp;", "&amp;ROUND(C15,6)&amp;")]"</f>
        <v>[TestCase(0, 0)]</v>
      </c>
    </row>
    <row r="16" spans="1:15" x14ac:dyDescent="0.3">
      <c r="A16">
        <v>6</v>
      </c>
      <c r="B16">
        <f>PI()/4</f>
        <v>0.78539816339744828</v>
      </c>
      <c r="C16">
        <f t="shared" ref="C16:C20" si="3">A16*B16</f>
        <v>4.7123889803846897</v>
      </c>
      <c r="E16" t="str">
        <f t="shared" ref="E16:E20" si="4">"[TestCase("&amp;ROUND(B16,6)&amp;", "&amp;ROUND(C16,6)&amp;")]"</f>
        <v>[TestCase(0.785398, 4.712389)]</v>
      </c>
    </row>
    <row r="17" spans="1:23" x14ac:dyDescent="0.3">
      <c r="A17">
        <v>6</v>
      </c>
      <c r="B17">
        <f>PI()</f>
        <v>3.1415926535897931</v>
      </c>
      <c r="C17">
        <f t="shared" si="3"/>
        <v>18.849555921538759</v>
      </c>
      <c r="E17" t="str">
        <f t="shared" si="4"/>
        <v>[TestCase(3.141593, 18.849556)]</v>
      </c>
    </row>
    <row r="18" spans="1:23" x14ac:dyDescent="0.3">
      <c r="A18">
        <v>6</v>
      </c>
      <c r="B18">
        <f>2*PI()</f>
        <v>6.2831853071795862</v>
      </c>
      <c r="C18">
        <f t="shared" si="3"/>
        <v>37.699111843077517</v>
      </c>
      <c r="E18" t="str">
        <f t="shared" si="4"/>
        <v>[TestCase(6.283185, 37.699112)]</v>
      </c>
    </row>
    <row r="19" spans="1:23" x14ac:dyDescent="0.3">
      <c r="A19">
        <v>6</v>
      </c>
      <c r="B19">
        <f>-PI()</f>
        <v>-3.1415926535897931</v>
      </c>
      <c r="C19">
        <f t="shared" si="3"/>
        <v>-18.849555921538759</v>
      </c>
      <c r="E19" t="str">
        <f t="shared" si="4"/>
        <v>[TestCase(-3.141593, -18.849556)]</v>
      </c>
    </row>
    <row r="20" spans="1:23" x14ac:dyDescent="0.3">
      <c r="A20">
        <v>6</v>
      </c>
      <c r="B20">
        <f>-2*PI()</f>
        <v>-6.2831853071795862</v>
      </c>
      <c r="C20">
        <f t="shared" si="3"/>
        <v>-37.699111843077517</v>
      </c>
      <c r="E20" t="str">
        <f t="shared" si="4"/>
        <v>[TestCase(-6.283185, -37.699112)]</v>
      </c>
    </row>
    <row r="22" spans="1:23" s="2" customFormat="1" x14ac:dyDescent="0.3">
      <c r="A22" s="2" t="s">
        <v>503</v>
      </c>
    </row>
    <row r="23" spans="1:23" x14ac:dyDescent="0.3">
      <c r="A23" s="107" t="s">
        <v>320</v>
      </c>
      <c r="B23" s="119" t="s">
        <v>482</v>
      </c>
      <c r="C23" s="119"/>
      <c r="E23" s="111" t="s">
        <v>484</v>
      </c>
      <c r="F23" s="130" t="s">
        <v>506</v>
      </c>
      <c r="G23" s="121"/>
      <c r="H23" s="126" t="s">
        <v>505</v>
      </c>
      <c r="I23" s="124"/>
      <c r="J23" s="124"/>
      <c r="K23" s="125"/>
    </row>
    <row r="24" spans="1:23" ht="15" thickBot="1" x14ac:dyDescent="0.35">
      <c r="A24" s="108" t="s">
        <v>22</v>
      </c>
      <c r="B24" t="s">
        <v>22</v>
      </c>
      <c r="C24" t="s">
        <v>23</v>
      </c>
      <c r="D24" t="s">
        <v>153</v>
      </c>
      <c r="E24" s="108" t="s">
        <v>23</v>
      </c>
      <c r="F24" s="6" t="s">
        <v>22</v>
      </c>
      <c r="G24" s="6" t="s">
        <v>23</v>
      </c>
      <c r="H24" s="90" t="s">
        <v>125</v>
      </c>
      <c r="I24" s="91" t="s">
        <v>126</v>
      </c>
      <c r="J24" s="90" t="s">
        <v>127</v>
      </c>
      <c r="K24" s="91" t="s">
        <v>128</v>
      </c>
    </row>
    <row r="25" spans="1:23" ht="15" thickTop="1" x14ac:dyDescent="0.3">
      <c r="A25" s="109">
        <v>4</v>
      </c>
      <c r="B25" s="94">
        <v>0</v>
      </c>
      <c r="C25" s="94">
        <v>0</v>
      </c>
      <c r="D25" s="94">
        <v>3</v>
      </c>
      <c r="E25" s="112" t="e">
        <f>SQRT(D25^2-(A25-F25)^2)</f>
        <v>#NUM!</v>
      </c>
      <c r="F25" s="96">
        <f>B25</f>
        <v>0</v>
      </c>
      <c r="G25" s="96">
        <f>C25</f>
        <v>0</v>
      </c>
      <c r="H25" s="97">
        <f>A25</f>
        <v>4</v>
      </c>
      <c r="I25" s="99" t="e">
        <f>ROUND(E25+$G25,6)</f>
        <v>#NUM!</v>
      </c>
      <c r="J25" s="97">
        <f>A25</f>
        <v>4</v>
      </c>
      <c r="K25" s="99" t="e">
        <f>ROUND(-E25+$G25,6)</f>
        <v>#NUM!</v>
      </c>
      <c r="M25" t="s">
        <v>507</v>
      </c>
      <c r="P25" s="116" t="str">
        <f>"[TestCase("&amp;A25&amp;", "&amp;B25&amp;", "&amp;C25&amp;", "&amp;D25&amp;")] // "&amp;M25</f>
        <v>[TestCase(4, 0, 0, 3)] // Out of range +</v>
      </c>
    </row>
    <row r="26" spans="1:23" s="16" customFormat="1" x14ac:dyDescent="0.3">
      <c r="A26" s="110">
        <v>-4</v>
      </c>
      <c r="B26" s="40">
        <v>0</v>
      </c>
      <c r="C26" s="40">
        <v>0</v>
      </c>
      <c r="D26" s="40">
        <v>3</v>
      </c>
      <c r="E26" s="108" t="e">
        <f>SQRT(D26^2-(A26-F26)^2)</f>
        <v>#NUM!</v>
      </c>
      <c r="F26" s="102">
        <f>B26</f>
        <v>0</v>
      </c>
      <c r="G26" s="102">
        <f>C26</f>
        <v>0</v>
      </c>
      <c r="H26" s="92">
        <f>A26</f>
        <v>-4</v>
      </c>
      <c r="I26" s="93" t="e">
        <f>ROUND(E26+$G26,6)</f>
        <v>#NUM!</v>
      </c>
      <c r="J26" s="92">
        <f t="shared" ref="J26:J38" si="5">A26</f>
        <v>-4</v>
      </c>
      <c r="K26" s="93" t="e">
        <f t="shared" ref="K26:K38" si="6">ROUND(-E26+$G26,6)</f>
        <v>#NUM!</v>
      </c>
      <c r="M26" s="16" t="s">
        <v>508</v>
      </c>
      <c r="P26" s="116" t="str">
        <f>"[TestCase("&amp;A26&amp;", "&amp;B26&amp;", "&amp;C26&amp;", "&amp;D26&amp;")] // "&amp;M26</f>
        <v>[TestCase(-4, 0, 0, 3)] // Out of range -</v>
      </c>
    </row>
    <row r="27" spans="1:23" x14ac:dyDescent="0.3">
      <c r="A27" s="115">
        <f>A25+B27</f>
        <v>8</v>
      </c>
      <c r="B27" s="40">
        <v>4</v>
      </c>
      <c r="C27" s="40">
        <v>5</v>
      </c>
      <c r="D27" s="40">
        <v>3</v>
      </c>
      <c r="E27" s="108" t="e">
        <f>SQRT(D27^2-(A27-F27)^2)</f>
        <v>#NUM!</v>
      </c>
      <c r="F27" s="102">
        <f>B27</f>
        <v>4</v>
      </c>
      <c r="G27" s="102">
        <f>C27</f>
        <v>5</v>
      </c>
      <c r="H27" s="92">
        <f>A27</f>
        <v>8</v>
      </c>
      <c r="I27" s="93" t="e">
        <f>ROUND(E27+$G27,6)</f>
        <v>#NUM!</v>
      </c>
      <c r="J27" s="92">
        <f t="shared" si="5"/>
        <v>8</v>
      </c>
      <c r="K27" s="93" t="e">
        <f t="shared" si="6"/>
        <v>#NUM!</v>
      </c>
      <c r="M27" t="s">
        <v>519</v>
      </c>
      <c r="P27" s="116" t="str">
        <f>"[TestCase("&amp;A27&amp;", "&amp;B27&amp;", "&amp;C27&amp;", "&amp;D27&amp;")] // "&amp;M27</f>
        <v>[TestCase(8, 4, 5, 3)] // Offset out of range +</v>
      </c>
      <c r="V27" s="16"/>
      <c r="W27" s="16"/>
    </row>
    <row r="28" spans="1:23" x14ac:dyDescent="0.3">
      <c r="A28" s="115">
        <f>A26+B28</f>
        <v>0</v>
      </c>
      <c r="B28" s="40">
        <v>4</v>
      </c>
      <c r="C28" s="40">
        <v>5</v>
      </c>
      <c r="D28" s="40">
        <v>3</v>
      </c>
      <c r="E28" s="108" t="e">
        <f>SQRT(D28^2-(A28-F28)^2)</f>
        <v>#NUM!</v>
      </c>
      <c r="F28" s="102">
        <f>B28</f>
        <v>4</v>
      </c>
      <c r="G28" s="102">
        <f>C28</f>
        <v>5</v>
      </c>
      <c r="H28" s="92">
        <f>A28</f>
        <v>0</v>
      </c>
      <c r="I28" s="93" t="e">
        <f>ROUND(E28+$G28,6)</f>
        <v>#NUM!</v>
      </c>
      <c r="J28" s="92">
        <f t="shared" si="5"/>
        <v>0</v>
      </c>
      <c r="K28" s="93" t="e">
        <f t="shared" si="6"/>
        <v>#NUM!</v>
      </c>
      <c r="M28" t="s">
        <v>520</v>
      </c>
      <c r="P28" s="116" t="str">
        <f>"[TestCase("&amp;A28&amp;", "&amp;B28&amp;", "&amp;C28&amp;", "&amp;D28&amp;")] // "&amp;M28</f>
        <v>[TestCase(0, 4, 5, 3)] // Offset out of range -</v>
      </c>
      <c r="U28" s="16"/>
      <c r="V28" s="16"/>
      <c r="W28" s="16"/>
    </row>
    <row r="29" spans="1:23" s="16" customFormat="1" x14ac:dyDescent="0.3">
      <c r="A29" s="110">
        <v>0</v>
      </c>
      <c r="B29" s="40">
        <v>0</v>
      </c>
      <c r="C29" s="40">
        <v>0</v>
      </c>
      <c r="D29" s="40">
        <v>3</v>
      </c>
      <c r="E29" s="108">
        <f>SQRT(D29^2-(A29-F29)^2)</f>
        <v>3</v>
      </c>
      <c r="F29" s="102">
        <f>B29</f>
        <v>0</v>
      </c>
      <c r="G29" s="102">
        <f>C29</f>
        <v>0</v>
      </c>
      <c r="H29" s="92">
        <f>A29</f>
        <v>0</v>
      </c>
      <c r="I29" s="93">
        <f>ROUND(E29+$G29,6)</f>
        <v>3</v>
      </c>
      <c r="J29" s="92">
        <f t="shared" si="5"/>
        <v>0</v>
      </c>
      <c r="K29" s="93">
        <f t="shared" si="6"/>
        <v>-3</v>
      </c>
      <c r="M29" s="16" t="s">
        <v>509</v>
      </c>
      <c r="P29" t="str">
        <f>"[TestCase("&amp;A29&amp;", "&amp;B29&amp;", "&amp;C29&amp;", "&amp;D29&amp;", "&amp;I29&amp;", "&amp;K29&amp;")] //"&amp;M29</f>
        <v>[TestCase(0, 0, 0, 3, 3, -3)] //Aligned with origin</v>
      </c>
      <c r="U29"/>
    </row>
    <row r="30" spans="1:23" s="16" customFormat="1" x14ac:dyDescent="0.3">
      <c r="A30" s="110">
        <v>1.5</v>
      </c>
      <c r="B30" s="40">
        <v>0</v>
      </c>
      <c r="C30" s="40">
        <v>0</v>
      </c>
      <c r="D30" s="40">
        <v>3</v>
      </c>
      <c r="E30" s="108">
        <f>SQRT(D30^2-(A30-F30)^2)</f>
        <v>2.598076211353316</v>
      </c>
      <c r="F30" s="102">
        <f>B30</f>
        <v>0</v>
      </c>
      <c r="G30" s="102">
        <f>C30</f>
        <v>0</v>
      </c>
      <c r="H30" s="92">
        <f>A30</f>
        <v>1.5</v>
      </c>
      <c r="I30" s="93">
        <f>ROUND(E30+$G30,6)</f>
        <v>2.5980759999999998</v>
      </c>
      <c r="J30" s="92">
        <f t="shared" si="5"/>
        <v>1.5</v>
      </c>
      <c r="K30" s="93">
        <f t="shared" si="6"/>
        <v>-2.5980759999999998</v>
      </c>
      <c r="M30" s="21" t="s">
        <v>510</v>
      </c>
      <c r="P30" t="str">
        <f t="shared" ref="P30:P38" si="7">"[TestCase("&amp;A30&amp;", "&amp;B30&amp;", "&amp;C30&amp;", "&amp;D30&amp;", "&amp;I30&amp;", "&amp;K30&amp;")] //"&amp;M30</f>
        <v>[TestCase(1.5, 0, 0, 3, 2.598076, -2.598076)] //half radius +</v>
      </c>
    </row>
    <row r="31" spans="1:23" s="16" customFormat="1" x14ac:dyDescent="0.3">
      <c r="A31" s="110">
        <v>-1.5</v>
      </c>
      <c r="B31" s="40">
        <v>0</v>
      </c>
      <c r="C31" s="40">
        <v>0</v>
      </c>
      <c r="D31" s="40">
        <v>3</v>
      </c>
      <c r="E31" s="108">
        <f>SQRT(D31^2-(A31-F31)^2)</f>
        <v>2.598076211353316</v>
      </c>
      <c r="F31" s="102">
        <f>B31</f>
        <v>0</v>
      </c>
      <c r="G31" s="102">
        <f>C31</f>
        <v>0</v>
      </c>
      <c r="H31" s="92">
        <f>A31</f>
        <v>-1.5</v>
      </c>
      <c r="I31" s="93">
        <f>ROUND(E31+$G31,6)</f>
        <v>2.5980759999999998</v>
      </c>
      <c r="J31" s="92">
        <f t="shared" si="5"/>
        <v>-1.5</v>
      </c>
      <c r="K31" s="93">
        <f t="shared" si="6"/>
        <v>-2.5980759999999998</v>
      </c>
      <c r="M31" s="21" t="s">
        <v>511</v>
      </c>
      <c r="P31" t="str">
        <f t="shared" si="7"/>
        <v>[TestCase(-1.5, 0, 0, 3, 2.598076, -2.598076)] //half radius -</v>
      </c>
      <c r="U31"/>
    </row>
    <row r="32" spans="1:23" s="16" customFormat="1" x14ac:dyDescent="0.3">
      <c r="A32" s="110">
        <v>3</v>
      </c>
      <c r="B32" s="40">
        <v>0</v>
      </c>
      <c r="C32" s="40">
        <v>0</v>
      </c>
      <c r="D32" s="40">
        <v>3</v>
      </c>
      <c r="E32" s="108">
        <f>SQRT(D32^2-(A32-F32)^2)</f>
        <v>0</v>
      </c>
      <c r="F32" s="102">
        <f>B32</f>
        <v>0</v>
      </c>
      <c r="G32" s="102">
        <f>C32</f>
        <v>0</v>
      </c>
      <c r="H32" s="92">
        <f>A32</f>
        <v>3</v>
      </c>
      <c r="I32" s="93">
        <f>ROUND(E32+$G32,6)</f>
        <v>0</v>
      </c>
      <c r="J32" s="92">
        <f t="shared" si="5"/>
        <v>3</v>
      </c>
      <c r="K32" s="93">
        <f t="shared" si="6"/>
        <v>0</v>
      </c>
      <c r="M32" s="21" t="s">
        <v>512</v>
      </c>
      <c r="P32" t="str">
        <f t="shared" si="7"/>
        <v>[TestCase(3, 0, 0, 3, 0, 0)] //radius +</v>
      </c>
    </row>
    <row r="33" spans="1:23" x14ac:dyDescent="0.3">
      <c r="A33" s="110">
        <v>-3</v>
      </c>
      <c r="B33" s="40">
        <v>0</v>
      </c>
      <c r="C33" s="40">
        <v>0</v>
      </c>
      <c r="D33" s="40">
        <v>3</v>
      </c>
      <c r="E33" s="108">
        <f>SQRT(D33^2-(A33-F33)^2)</f>
        <v>0</v>
      </c>
      <c r="F33" s="102">
        <f>B33</f>
        <v>0</v>
      </c>
      <c r="G33" s="102">
        <f>C33</f>
        <v>0</v>
      </c>
      <c r="H33" s="92">
        <f>A33</f>
        <v>-3</v>
      </c>
      <c r="I33" s="93">
        <f>ROUND(E33+$G33,6)</f>
        <v>0</v>
      </c>
      <c r="J33" s="92">
        <f t="shared" si="5"/>
        <v>-3</v>
      </c>
      <c r="K33" s="93">
        <f t="shared" si="6"/>
        <v>0</v>
      </c>
      <c r="M33" s="21" t="s">
        <v>513</v>
      </c>
      <c r="P33" t="str">
        <f t="shared" si="7"/>
        <v>[TestCase(-3, 0, 0, 3, 0, 0)] //radius -</v>
      </c>
      <c r="V33" s="16"/>
      <c r="W33" s="16"/>
    </row>
    <row r="34" spans="1:23" x14ac:dyDescent="0.3">
      <c r="A34" s="115">
        <f>A29+B34</f>
        <v>4</v>
      </c>
      <c r="B34" s="40">
        <v>4</v>
      </c>
      <c r="C34" s="40">
        <v>5</v>
      </c>
      <c r="D34" s="40">
        <v>3</v>
      </c>
      <c r="E34" s="108">
        <f>SQRT(D34^2-(A34-F34)^2)</f>
        <v>3</v>
      </c>
      <c r="F34" s="102">
        <f>B34</f>
        <v>4</v>
      </c>
      <c r="G34" s="102">
        <f>C34</f>
        <v>5</v>
      </c>
      <c r="H34" s="92">
        <f>A34</f>
        <v>4</v>
      </c>
      <c r="I34" s="93">
        <f>ROUND(E34+$G34,6)</f>
        <v>8</v>
      </c>
      <c r="J34" s="92">
        <f t="shared" si="5"/>
        <v>4</v>
      </c>
      <c r="K34" s="93">
        <f t="shared" si="6"/>
        <v>2</v>
      </c>
      <c r="M34" s="16" t="s">
        <v>514</v>
      </c>
      <c r="P34" t="str">
        <f t="shared" si="7"/>
        <v>[TestCase(4, 4, 5, 3, 8, 2)] //Offset aligned with origin</v>
      </c>
      <c r="U34" s="16"/>
      <c r="V34" s="16"/>
      <c r="W34" s="16"/>
    </row>
    <row r="35" spans="1:23" x14ac:dyDescent="0.3">
      <c r="A35" s="115">
        <f>A30+B35</f>
        <v>5.5</v>
      </c>
      <c r="B35" s="40">
        <v>4</v>
      </c>
      <c r="C35" s="40">
        <v>5</v>
      </c>
      <c r="D35" s="40">
        <v>3</v>
      </c>
      <c r="E35" s="108">
        <f>SQRT(D35^2-(A35-F35)^2)</f>
        <v>2.598076211353316</v>
      </c>
      <c r="F35" s="102">
        <f>B35</f>
        <v>4</v>
      </c>
      <c r="G35" s="102">
        <f>C35</f>
        <v>5</v>
      </c>
      <c r="H35" s="92">
        <f>A35</f>
        <v>5.5</v>
      </c>
      <c r="I35" s="93">
        <f>ROUND(E35+$G35,6)</f>
        <v>7.5980759999999998</v>
      </c>
      <c r="J35" s="92">
        <f t="shared" si="5"/>
        <v>5.5</v>
      </c>
      <c r="K35" s="93">
        <f t="shared" si="6"/>
        <v>2.4019240000000002</v>
      </c>
      <c r="M35" s="21" t="s">
        <v>515</v>
      </c>
      <c r="P35" t="str">
        <f t="shared" si="7"/>
        <v>[TestCase(5.5, 4, 5, 3, 7.598076, 2.401924)] //Offset half radius +</v>
      </c>
      <c r="W35" s="21"/>
    </row>
    <row r="36" spans="1:23" x14ac:dyDescent="0.3">
      <c r="A36" s="115">
        <f>A31+B36</f>
        <v>2.5</v>
      </c>
      <c r="B36" s="40">
        <v>4</v>
      </c>
      <c r="C36" s="40">
        <v>5</v>
      </c>
      <c r="D36" s="40">
        <v>3</v>
      </c>
      <c r="E36" s="108">
        <f>SQRT(D36^2-(A36-F36)^2)</f>
        <v>2.598076211353316</v>
      </c>
      <c r="F36" s="102">
        <f>B36</f>
        <v>4</v>
      </c>
      <c r="G36" s="102">
        <f>C36</f>
        <v>5</v>
      </c>
      <c r="H36" s="92">
        <f>A36</f>
        <v>2.5</v>
      </c>
      <c r="I36" s="93">
        <f>ROUND(E36+$G36,6)</f>
        <v>7.5980759999999998</v>
      </c>
      <c r="J36" s="92">
        <f t="shared" si="5"/>
        <v>2.5</v>
      </c>
      <c r="K36" s="93">
        <f t="shared" si="6"/>
        <v>2.4019240000000002</v>
      </c>
      <c r="M36" s="21" t="s">
        <v>516</v>
      </c>
      <c r="P36" t="str">
        <f t="shared" si="7"/>
        <v>[TestCase(2.5, 4, 5, 3, 7.598076, 2.401924)] //Offset half radius -</v>
      </c>
    </row>
    <row r="37" spans="1:23" x14ac:dyDescent="0.3">
      <c r="A37" s="115">
        <f>A32+B37</f>
        <v>7</v>
      </c>
      <c r="B37" s="40">
        <v>4</v>
      </c>
      <c r="C37" s="40">
        <v>5</v>
      </c>
      <c r="D37" s="40">
        <v>3</v>
      </c>
      <c r="E37" s="108">
        <f>SQRT(D37^2-(A37-F37)^2)</f>
        <v>0</v>
      </c>
      <c r="F37" s="102">
        <f>B37</f>
        <v>4</v>
      </c>
      <c r="G37" s="102">
        <f>C37</f>
        <v>5</v>
      </c>
      <c r="H37" s="92">
        <f>A37</f>
        <v>7</v>
      </c>
      <c r="I37" s="93">
        <f>ROUND(E37+$G37,6)</f>
        <v>5</v>
      </c>
      <c r="J37" s="92">
        <f t="shared" si="5"/>
        <v>7</v>
      </c>
      <c r="K37" s="93">
        <f t="shared" si="6"/>
        <v>5</v>
      </c>
      <c r="M37" s="21" t="s">
        <v>517</v>
      </c>
      <c r="P37" t="str">
        <f t="shared" si="7"/>
        <v>[TestCase(7, 4, 5, 3, 5, 5)] //Offset radius +</v>
      </c>
    </row>
    <row r="38" spans="1:23" x14ac:dyDescent="0.3">
      <c r="A38" s="115">
        <f>A33+B38</f>
        <v>1</v>
      </c>
      <c r="B38" s="40">
        <v>4</v>
      </c>
      <c r="C38" s="40">
        <v>5</v>
      </c>
      <c r="D38" s="40">
        <v>3</v>
      </c>
      <c r="E38" s="108">
        <f>SQRT(D38^2-(A38-F38)^2)</f>
        <v>0</v>
      </c>
      <c r="F38" s="102">
        <f>B38</f>
        <v>4</v>
      </c>
      <c r="G38" s="102">
        <f>C38</f>
        <v>5</v>
      </c>
      <c r="H38" s="92">
        <f>A38</f>
        <v>1</v>
      </c>
      <c r="I38" s="93">
        <f>ROUND(E38+$G38,6)</f>
        <v>5</v>
      </c>
      <c r="J38" s="92">
        <f t="shared" si="5"/>
        <v>1</v>
      </c>
      <c r="K38" s="93">
        <f t="shared" si="6"/>
        <v>5</v>
      </c>
      <c r="M38" s="21" t="s">
        <v>518</v>
      </c>
      <c r="P38" t="str">
        <f t="shared" si="7"/>
        <v>[TestCase(1, 4, 5, 3, 5, 5)] //Offset radius -</v>
      </c>
    </row>
    <row r="40" spans="1:23" s="2" customFormat="1" x14ac:dyDescent="0.3">
      <c r="A40" s="2" t="s">
        <v>504</v>
      </c>
    </row>
    <row r="41" spans="1:23" x14ac:dyDescent="0.3">
      <c r="A41" s="107" t="s">
        <v>320</v>
      </c>
      <c r="B41" s="119" t="s">
        <v>482</v>
      </c>
      <c r="C41" s="119"/>
      <c r="E41" s="111" t="s">
        <v>484</v>
      </c>
      <c r="F41" s="130" t="s">
        <v>506</v>
      </c>
      <c r="G41" s="121"/>
      <c r="H41" s="126" t="s">
        <v>505</v>
      </c>
      <c r="I41" s="124"/>
      <c r="J41" s="124"/>
      <c r="K41" s="125"/>
    </row>
    <row r="42" spans="1:23" ht="15" thickBot="1" x14ac:dyDescent="0.35">
      <c r="A42" s="108" t="s">
        <v>23</v>
      </c>
      <c r="B42" t="s">
        <v>22</v>
      </c>
      <c r="C42" t="s">
        <v>23</v>
      </c>
      <c r="D42" t="s">
        <v>153</v>
      </c>
      <c r="E42" s="108" t="s">
        <v>22</v>
      </c>
      <c r="F42" s="6" t="s">
        <v>22</v>
      </c>
      <c r="G42" s="6" t="s">
        <v>23</v>
      </c>
      <c r="H42" s="90" t="s">
        <v>125</v>
      </c>
      <c r="I42" s="91" t="s">
        <v>126</v>
      </c>
      <c r="J42" s="90" t="s">
        <v>127</v>
      </c>
      <c r="K42" s="91" t="s">
        <v>128</v>
      </c>
    </row>
    <row r="43" spans="1:23" ht="15" thickTop="1" x14ac:dyDescent="0.3">
      <c r="A43" s="109">
        <v>4</v>
      </c>
      <c r="B43" s="94">
        <v>0</v>
      </c>
      <c r="C43" s="94">
        <v>0</v>
      </c>
      <c r="D43" s="94">
        <v>3</v>
      </c>
      <c r="E43" s="113" t="e">
        <f>SQRT(D43^2-(A43-G43)^2)</f>
        <v>#NUM!</v>
      </c>
      <c r="F43" s="96">
        <f>B43</f>
        <v>0</v>
      </c>
      <c r="G43" s="96">
        <f>C43</f>
        <v>0</v>
      </c>
      <c r="H43" s="97" t="e">
        <f>ROUND(E43+$F43,6)</f>
        <v>#NUM!</v>
      </c>
      <c r="I43" s="99">
        <f>A43</f>
        <v>4</v>
      </c>
      <c r="J43" s="97" t="e">
        <f>ROUND(-E43+$F43,6)</f>
        <v>#NUM!</v>
      </c>
      <c r="K43" s="99">
        <f>A43</f>
        <v>4</v>
      </c>
      <c r="M43" t="s">
        <v>507</v>
      </c>
      <c r="P43" s="116" t="str">
        <f>"[TestCase("&amp;A43&amp;", "&amp;B43&amp;", "&amp;C43&amp;", "&amp;D43&amp;")] // "&amp;M43</f>
        <v>[TestCase(4, 0, 0, 3)] // Out of range +</v>
      </c>
    </row>
    <row r="44" spans="1:23" x14ac:dyDescent="0.3">
      <c r="A44" s="110">
        <v>-4</v>
      </c>
      <c r="B44" s="40">
        <v>0</v>
      </c>
      <c r="C44" s="40">
        <v>0</v>
      </c>
      <c r="D44" s="40">
        <v>3</v>
      </c>
      <c r="E44" s="114" t="e">
        <f>SQRT(D44^2-(A44-G44)^2)</f>
        <v>#NUM!</v>
      </c>
      <c r="F44" s="102">
        <f>B44</f>
        <v>0</v>
      </c>
      <c r="G44" s="102">
        <f>C44</f>
        <v>0</v>
      </c>
      <c r="H44" s="92" t="e">
        <f>ROUND(E44+$F44,6)</f>
        <v>#NUM!</v>
      </c>
      <c r="I44" s="93">
        <f>A44</f>
        <v>-4</v>
      </c>
      <c r="J44" s="92" t="e">
        <f t="shared" ref="J44:J56" si="8">ROUND(-E44+$F44,6)</f>
        <v>#NUM!</v>
      </c>
      <c r="K44" s="93">
        <f t="shared" ref="K44:K56" si="9">A44</f>
        <v>-4</v>
      </c>
      <c r="M44" s="16" t="s">
        <v>508</v>
      </c>
      <c r="P44" s="116" t="str">
        <f>"[TestCase("&amp;A44&amp;", "&amp;B44&amp;", "&amp;C44&amp;", "&amp;D44&amp;")] // "&amp;M44</f>
        <v>[TestCase(-4, 0, 0, 3)] // Out of range -</v>
      </c>
    </row>
    <row r="45" spans="1:23" x14ac:dyDescent="0.3">
      <c r="A45" s="115">
        <f>A43+C45</f>
        <v>9</v>
      </c>
      <c r="B45" s="40">
        <v>4</v>
      </c>
      <c r="C45" s="40">
        <v>5</v>
      </c>
      <c r="D45" s="40">
        <v>3</v>
      </c>
      <c r="E45" s="114" t="e">
        <f>SQRT(D45^2-(A45-G45)^2)</f>
        <v>#NUM!</v>
      </c>
      <c r="F45" s="102">
        <f>B45</f>
        <v>4</v>
      </c>
      <c r="G45" s="102">
        <f>C45</f>
        <v>5</v>
      </c>
      <c r="H45" s="92" t="e">
        <f>ROUND(E45+$F45,6)</f>
        <v>#NUM!</v>
      </c>
      <c r="I45" s="93">
        <f>A45</f>
        <v>9</v>
      </c>
      <c r="J45" s="92" t="e">
        <f t="shared" si="8"/>
        <v>#NUM!</v>
      </c>
      <c r="K45" s="93">
        <f t="shared" si="9"/>
        <v>9</v>
      </c>
      <c r="M45" t="s">
        <v>519</v>
      </c>
      <c r="P45" s="116" t="str">
        <f>"[TestCase("&amp;A45&amp;", "&amp;B45&amp;", "&amp;C45&amp;", "&amp;D45&amp;")] // "&amp;M45</f>
        <v>[TestCase(9, 4, 5, 3)] // Offset out of range +</v>
      </c>
    </row>
    <row r="46" spans="1:23" x14ac:dyDescent="0.3">
      <c r="A46" s="115">
        <f>A44+C46</f>
        <v>1</v>
      </c>
      <c r="B46" s="40">
        <v>4</v>
      </c>
      <c r="C46" s="40">
        <v>5</v>
      </c>
      <c r="D46" s="40">
        <v>3</v>
      </c>
      <c r="E46" s="114" t="e">
        <f>SQRT(D46^2-(A46-G46)^2)</f>
        <v>#NUM!</v>
      </c>
      <c r="F46" s="102">
        <f>B46</f>
        <v>4</v>
      </c>
      <c r="G46" s="102">
        <f>C46</f>
        <v>5</v>
      </c>
      <c r="H46" s="92" t="e">
        <f>ROUND(E46+$F46,6)</f>
        <v>#NUM!</v>
      </c>
      <c r="I46" s="93">
        <f>A46</f>
        <v>1</v>
      </c>
      <c r="J46" s="92" t="e">
        <f t="shared" si="8"/>
        <v>#NUM!</v>
      </c>
      <c r="K46" s="93">
        <f t="shared" si="9"/>
        <v>1</v>
      </c>
      <c r="M46" t="s">
        <v>520</v>
      </c>
      <c r="P46" s="116" t="str">
        <f>"[TestCase("&amp;A46&amp;", "&amp;B46&amp;", "&amp;C46&amp;", "&amp;D46&amp;")] // "&amp;M46</f>
        <v>[TestCase(1, 4, 5, 3)] // Offset out of range -</v>
      </c>
    </row>
    <row r="47" spans="1:23" x14ac:dyDescent="0.3">
      <c r="A47" s="110">
        <v>0</v>
      </c>
      <c r="B47" s="40">
        <v>0</v>
      </c>
      <c r="C47" s="40">
        <v>0</v>
      </c>
      <c r="D47" s="40">
        <v>3</v>
      </c>
      <c r="E47" s="114">
        <f>SQRT(D47^2-(A47-G47)^2)</f>
        <v>3</v>
      </c>
      <c r="F47" s="102">
        <f>B47</f>
        <v>0</v>
      </c>
      <c r="G47" s="102">
        <f>C47</f>
        <v>0</v>
      </c>
      <c r="H47" s="92">
        <f>ROUND(E47+$F47,6)</f>
        <v>3</v>
      </c>
      <c r="I47" s="93">
        <f>A47</f>
        <v>0</v>
      </c>
      <c r="J47" s="92">
        <f t="shared" si="8"/>
        <v>-3</v>
      </c>
      <c r="K47" s="93">
        <f t="shared" si="9"/>
        <v>0</v>
      </c>
      <c r="M47" s="16" t="s">
        <v>509</v>
      </c>
      <c r="P47" t="str">
        <f>"[TestCase("&amp;A47&amp;", "&amp;B47&amp;", "&amp;C47&amp;", "&amp;D47&amp;", "&amp;H47&amp;", "&amp;J47&amp;")] //"&amp;M47</f>
        <v>[TestCase(0, 0, 0, 3, 3, -3)] //Aligned with origin</v>
      </c>
    </row>
    <row r="48" spans="1:23" x14ac:dyDescent="0.3">
      <c r="A48" s="110">
        <v>1.5</v>
      </c>
      <c r="B48" s="40">
        <v>0</v>
      </c>
      <c r="C48" s="40">
        <v>0</v>
      </c>
      <c r="D48" s="40">
        <v>3</v>
      </c>
      <c r="E48" s="114">
        <f>SQRT(D48^2-(A48-G48)^2)</f>
        <v>2.598076211353316</v>
      </c>
      <c r="F48" s="102">
        <f>B48</f>
        <v>0</v>
      </c>
      <c r="G48" s="102">
        <f>C48</f>
        <v>0</v>
      </c>
      <c r="H48" s="92">
        <f>ROUND(E48+$F48,6)</f>
        <v>2.5980759999999998</v>
      </c>
      <c r="I48" s="93">
        <f>A48</f>
        <v>1.5</v>
      </c>
      <c r="J48" s="92">
        <f t="shared" si="8"/>
        <v>-2.5980759999999998</v>
      </c>
      <c r="K48" s="93">
        <f t="shared" si="9"/>
        <v>1.5</v>
      </c>
      <c r="M48" s="21" t="s">
        <v>510</v>
      </c>
      <c r="P48" t="str">
        <f t="shared" ref="P48:P56" si="10">"[TestCase("&amp;A48&amp;", "&amp;B48&amp;", "&amp;C48&amp;", "&amp;D48&amp;", "&amp;H48&amp;", "&amp;J48&amp;")] //"&amp;M48</f>
        <v>[TestCase(1.5, 0, 0, 3, 2.598076, -2.598076)] //half radius +</v>
      </c>
    </row>
    <row r="49" spans="1:24" x14ac:dyDescent="0.3">
      <c r="A49" s="110">
        <v>-1.5</v>
      </c>
      <c r="B49" s="40">
        <v>0</v>
      </c>
      <c r="C49" s="40">
        <v>0</v>
      </c>
      <c r="D49" s="40">
        <v>3</v>
      </c>
      <c r="E49" s="114">
        <f>SQRT(D49^2-(A49-G49)^2)</f>
        <v>2.598076211353316</v>
      </c>
      <c r="F49" s="102">
        <f>B49</f>
        <v>0</v>
      </c>
      <c r="G49" s="102">
        <f>C49</f>
        <v>0</v>
      </c>
      <c r="H49" s="92">
        <f>ROUND(E49+$F49,6)</f>
        <v>2.5980759999999998</v>
      </c>
      <c r="I49" s="93">
        <f>A49</f>
        <v>-1.5</v>
      </c>
      <c r="J49" s="92">
        <f t="shared" si="8"/>
        <v>-2.5980759999999998</v>
      </c>
      <c r="K49" s="93">
        <f t="shared" si="9"/>
        <v>-1.5</v>
      </c>
      <c r="M49" s="21" t="s">
        <v>511</v>
      </c>
      <c r="P49" t="str">
        <f t="shared" si="10"/>
        <v>[TestCase(-1.5, 0, 0, 3, 2.598076, -2.598076)] //half radius -</v>
      </c>
    </row>
    <row r="50" spans="1:24" x14ac:dyDescent="0.3">
      <c r="A50" s="110">
        <v>3</v>
      </c>
      <c r="B50" s="40">
        <v>0</v>
      </c>
      <c r="C50" s="40">
        <v>0</v>
      </c>
      <c r="D50" s="40">
        <v>3</v>
      </c>
      <c r="E50" s="114">
        <f>SQRT(D50^2-(A50-G50)^2)</f>
        <v>0</v>
      </c>
      <c r="F50" s="102">
        <f>B50</f>
        <v>0</v>
      </c>
      <c r="G50" s="102">
        <f>C50</f>
        <v>0</v>
      </c>
      <c r="H50" s="92">
        <f>ROUND(E50+$F50,6)</f>
        <v>0</v>
      </c>
      <c r="I50" s="93">
        <f>A50</f>
        <v>3</v>
      </c>
      <c r="J50" s="92">
        <f t="shared" si="8"/>
        <v>0</v>
      </c>
      <c r="K50" s="93">
        <f t="shared" si="9"/>
        <v>3</v>
      </c>
      <c r="M50" s="21" t="s">
        <v>512</v>
      </c>
      <c r="P50" t="str">
        <f t="shared" si="10"/>
        <v>[TestCase(3, 0, 0, 3, 0, 0)] //radius +</v>
      </c>
    </row>
    <row r="51" spans="1:24" x14ac:dyDescent="0.3">
      <c r="A51" s="110">
        <v>-3</v>
      </c>
      <c r="B51" s="40">
        <v>0</v>
      </c>
      <c r="C51" s="40">
        <v>0</v>
      </c>
      <c r="D51" s="40">
        <v>3</v>
      </c>
      <c r="E51" s="114">
        <f>SQRT(D51^2-(A51-G51)^2)</f>
        <v>0</v>
      </c>
      <c r="F51" s="102">
        <f>B51</f>
        <v>0</v>
      </c>
      <c r="G51" s="102">
        <f>C51</f>
        <v>0</v>
      </c>
      <c r="H51" s="92">
        <f>ROUND(E51+$F51,6)</f>
        <v>0</v>
      </c>
      <c r="I51" s="93">
        <f>A51</f>
        <v>-3</v>
      </c>
      <c r="J51" s="92">
        <f t="shared" si="8"/>
        <v>0</v>
      </c>
      <c r="K51" s="93">
        <f t="shared" si="9"/>
        <v>-3</v>
      </c>
      <c r="M51" s="21" t="s">
        <v>513</v>
      </c>
      <c r="P51" t="str">
        <f t="shared" si="10"/>
        <v>[TestCase(-3, 0, 0, 3, 0, 0)] //radius -</v>
      </c>
    </row>
    <row r="52" spans="1:24" x14ac:dyDescent="0.3">
      <c r="A52" s="115">
        <f>A47+C52</f>
        <v>5</v>
      </c>
      <c r="B52" s="40">
        <v>4</v>
      </c>
      <c r="C52" s="40">
        <v>5</v>
      </c>
      <c r="D52" s="40">
        <v>3</v>
      </c>
      <c r="E52" s="114">
        <f>SQRT(D52^2-(A52-G52)^2)</f>
        <v>3</v>
      </c>
      <c r="F52" s="102">
        <f>B52</f>
        <v>4</v>
      </c>
      <c r="G52" s="102">
        <f>C52</f>
        <v>5</v>
      </c>
      <c r="H52" s="92">
        <f>ROUND(E52+$F52,6)</f>
        <v>7</v>
      </c>
      <c r="I52" s="93">
        <f>A52</f>
        <v>5</v>
      </c>
      <c r="J52" s="92">
        <f t="shared" si="8"/>
        <v>1</v>
      </c>
      <c r="K52" s="93">
        <f t="shared" si="9"/>
        <v>5</v>
      </c>
      <c r="M52" s="16" t="s">
        <v>514</v>
      </c>
      <c r="P52" t="str">
        <f t="shared" si="10"/>
        <v>[TestCase(5, 4, 5, 3, 7, 1)] //Offset aligned with origin</v>
      </c>
    </row>
    <row r="53" spans="1:24" x14ac:dyDescent="0.3">
      <c r="A53" s="115">
        <f>A48+C53</f>
        <v>6.5</v>
      </c>
      <c r="B53" s="40">
        <v>4</v>
      </c>
      <c r="C53" s="40">
        <v>5</v>
      </c>
      <c r="D53" s="40">
        <v>3</v>
      </c>
      <c r="E53" s="114">
        <f>SQRT(D53^2-(A53-G53)^2)</f>
        <v>2.598076211353316</v>
      </c>
      <c r="F53" s="102">
        <f>B53</f>
        <v>4</v>
      </c>
      <c r="G53" s="102">
        <f>C53</f>
        <v>5</v>
      </c>
      <c r="H53" s="92">
        <f>ROUND(E53+$F53,6)</f>
        <v>6.5980759999999998</v>
      </c>
      <c r="I53" s="93">
        <f>A53</f>
        <v>6.5</v>
      </c>
      <c r="J53" s="92">
        <f t="shared" si="8"/>
        <v>1.4019239999999999</v>
      </c>
      <c r="K53" s="93">
        <f t="shared" si="9"/>
        <v>6.5</v>
      </c>
      <c r="M53" s="21" t="s">
        <v>515</v>
      </c>
      <c r="P53" t="str">
        <f t="shared" si="10"/>
        <v>[TestCase(6.5, 4, 5, 3, 6.598076, 1.401924)] //Offset half radius +</v>
      </c>
    </row>
    <row r="54" spans="1:24" x14ac:dyDescent="0.3">
      <c r="A54" s="115">
        <f>A49+C54</f>
        <v>3.5</v>
      </c>
      <c r="B54" s="40">
        <v>4</v>
      </c>
      <c r="C54" s="40">
        <v>5</v>
      </c>
      <c r="D54" s="40">
        <v>3</v>
      </c>
      <c r="E54" s="114">
        <f>SQRT(D54^2-(A54-G54)^2)</f>
        <v>2.598076211353316</v>
      </c>
      <c r="F54" s="102">
        <f>B54</f>
        <v>4</v>
      </c>
      <c r="G54" s="102">
        <f>C54</f>
        <v>5</v>
      </c>
      <c r="H54" s="92">
        <f>ROUND(E54+$F54,6)</f>
        <v>6.5980759999999998</v>
      </c>
      <c r="I54" s="93">
        <f>A54</f>
        <v>3.5</v>
      </c>
      <c r="J54" s="92">
        <f t="shared" si="8"/>
        <v>1.4019239999999999</v>
      </c>
      <c r="K54" s="93">
        <f t="shared" si="9"/>
        <v>3.5</v>
      </c>
      <c r="M54" s="21" t="s">
        <v>516</v>
      </c>
      <c r="P54" t="str">
        <f t="shared" si="10"/>
        <v>[TestCase(3.5, 4, 5, 3, 6.598076, 1.401924)] //Offset half radius -</v>
      </c>
    </row>
    <row r="55" spans="1:24" x14ac:dyDescent="0.3">
      <c r="A55" s="115">
        <f>A50+C55</f>
        <v>8</v>
      </c>
      <c r="B55" s="40">
        <v>4</v>
      </c>
      <c r="C55" s="40">
        <v>5</v>
      </c>
      <c r="D55" s="40">
        <v>3</v>
      </c>
      <c r="E55" s="114">
        <f>SQRT(D55^2-(A55-G55)^2)</f>
        <v>0</v>
      </c>
      <c r="F55" s="102">
        <f>B55</f>
        <v>4</v>
      </c>
      <c r="G55" s="102">
        <f>C55</f>
        <v>5</v>
      </c>
      <c r="H55" s="92">
        <f>ROUND(E55+$F55,6)</f>
        <v>4</v>
      </c>
      <c r="I55" s="93">
        <f>A55</f>
        <v>8</v>
      </c>
      <c r="J55" s="92">
        <f t="shared" si="8"/>
        <v>4</v>
      </c>
      <c r="K55" s="93">
        <f t="shared" si="9"/>
        <v>8</v>
      </c>
      <c r="M55" s="21" t="s">
        <v>517</v>
      </c>
      <c r="P55" t="str">
        <f t="shared" si="10"/>
        <v>[TestCase(8, 4, 5, 3, 4, 4)] //Offset radius +</v>
      </c>
    </row>
    <row r="56" spans="1:24" x14ac:dyDescent="0.3">
      <c r="A56" s="115">
        <f>A51+C56</f>
        <v>2</v>
      </c>
      <c r="B56" s="40">
        <v>4</v>
      </c>
      <c r="C56" s="40">
        <v>5</v>
      </c>
      <c r="D56" s="40">
        <v>3</v>
      </c>
      <c r="E56" s="114">
        <f>SQRT(D56^2-(A56-G56)^2)</f>
        <v>0</v>
      </c>
      <c r="F56" s="102">
        <f>B56</f>
        <v>4</v>
      </c>
      <c r="G56" s="102">
        <f>C56</f>
        <v>5</v>
      </c>
      <c r="H56" s="92">
        <f>ROUND(E56+$F56,6)</f>
        <v>4</v>
      </c>
      <c r="I56" s="93">
        <f>A56</f>
        <v>2</v>
      </c>
      <c r="J56" s="92">
        <f t="shared" si="8"/>
        <v>4</v>
      </c>
      <c r="K56" s="93">
        <f t="shared" si="9"/>
        <v>2</v>
      </c>
      <c r="M56" s="21" t="s">
        <v>518</v>
      </c>
      <c r="P56" t="str">
        <f t="shared" si="10"/>
        <v>[TestCase(2, 4, 5, 3, 4, 4)] //Offset radius -</v>
      </c>
    </row>
    <row r="58" spans="1:24" s="2" customFormat="1" x14ac:dyDescent="0.3">
      <c r="A58" s="2" t="s">
        <v>521</v>
      </c>
    </row>
    <row r="59" spans="1:24" x14ac:dyDescent="0.3">
      <c r="A59" s="121" t="s">
        <v>531</v>
      </c>
      <c r="B59" s="121"/>
      <c r="C59" s="136" t="s">
        <v>482</v>
      </c>
      <c r="D59" s="137"/>
      <c r="E59" s="19"/>
      <c r="F59" s="136" t="s">
        <v>542</v>
      </c>
      <c r="G59" s="137"/>
      <c r="H59" s="137"/>
      <c r="I59" s="137"/>
      <c r="J59" s="136" t="s">
        <v>506</v>
      </c>
      <c r="K59" s="140"/>
      <c r="L59" s="121" t="s">
        <v>532</v>
      </c>
      <c r="M59" s="121"/>
      <c r="N59" s="136" t="s">
        <v>533</v>
      </c>
      <c r="O59" s="137"/>
      <c r="P59" s="137"/>
      <c r="Q59" s="137"/>
    </row>
    <row r="60" spans="1:24" ht="15" thickBot="1" x14ac:dyDescent="0.35">
      <c r="A60" s="6" t="s">
        <v>22</v>
      </c>
      <c r="B60" s="6" t="s">
        <v>23</v>
      </c>
      <c r="C60" s="15" t="s">
        <v>22</v>
      </c>
      <c r="D60" s="16" t="s">
        <v>23</v>
      </c>
      <c r="E60" s="19" t="s">
        <v>153</v>
      </c>
      <c r="F60" s="156" t="s">
        <v>22</v>
      </c>
      <c r="G60" s="18" t="s">
        <v>23</v>
      </c>
      <c r="H60" s="155" t="s">
        <v>22</v>
      </c>
      <c r="I60" s="157" t="s">
        <v>23</v>
      </c>
      <c r="J60" s="13" t="s">
        <v>22</v>
      </c>
      <c r="K60" s="18" t="s">
        <v>23</v>
      </c>
      <c r="L60" s="6" t="s">
        <v>22</v>
      </c>
      <c r="M60" s="6" t="s">
        <v>23</v>
      </c>
      <c r="N60" s="156" t="s">
        <v>22</v>
      </c>
      <c r="O60" s="18" t="s">
        <v>23</v>
      </c>
      <c r="P60" s="155" t="s">
        <v>22</v>
      </c>
      <c r="Q60" s="157" t="s">
        <v>23</v>
      </c>
      <c r="U60" s="6" t="s">
        <v>544</v>
      </c>
      <c r="X60" s="6" t="s">
        <v>543</v>
      </c>
    </row>
    <row r="61" spans="1:24" ht="15" thickTop="1" x14ac:dyDescent="0.3">
      <c r="A61" s="94">
        <v>6</v>
      </c>
      <c r="B61" s="94">
        <v>0</v>
      </c>
      <c r="C61" s="138">
        <v>0</v>
      </c>
      <c r="D61" s="94">
        <v>0</v>
      </c>
      <c r="E61" s="139">
        <v>6</v>
      </c>
      <c r="F61" s="135">
        <f>E61</f>
        <v>6</v>
      </c>
      <c r="G61" s="135">
        <v>0</v>
      </c>
      <c r="H61" s="103">
        <f>-F61</f>
        <v>-6</v>
      </c>
      <c r="I61" s="103">
        <f>-G61</f>
        <v>0</v>
      </c>
      <c r="J61" s="141">
        <f>C61</f>
        <v>0</v>
      </c>
      <c r="K61" s="142">
        <f>D61</f>
        <v>0</v>
      </c>
      <c r="L61" s="95">
        <f>A61+J61</f>
        <v>6</v>
      </c>
      <c r="M61" s="95">
        <f>B61+K61</f>
        <v>0</v>
      </c>
      <c r="N61" s="158">
        <f>F61+J61</f>
        <v>6</v>
      </c>
      <c r="O61" s="145">
        <f>G61+K61</f>
        <v>0</v>
      </c>
      <c r="P61" s="15">
        <f>H61+J61</f>
        <v>-6</v>
      </c>
      <c r="Q61" s="91">
        <f>I61+K61</f>
        <v>0</v>
      </c>
      <c r="S61" t="s">
        <v>522</v>
      </c>
      <c r="U61" t="str">
        <f>"[TestCase("&amp;L61&amp;", "&amp;M61&amp;", "&amp;ROUND(N61,6)&amp;", "&amp;ROUND(O61,6)&amp;", "&amp;ROUND(P61,6)&amp;", "&amp;ROUND(Q61,6)&amp;")] //"&amp;S61</f>
        <v>[TestCase(6, 0, 6, 0, -6, 0)] //x-axis + outside</v>
      </c>
      <c r="X61" t="str">
        <f>"[TestCase("&amp;L61&amp;", "&amp;M61&amp;", "&amp;ROUND(N61,6)&amp;", "&amp;ROUND(O61,6)&amp;")] //"&amp;S61</f>
        <v>[TestCase(6, 0, 6, 0)] //x-axis + outside</v>
      </c>
    </row>
    <row r="62" spans="1:24" x14ac:dyDescent="0.3">
      <c r="A62" s="10">
        <v>-6</v>
      </c>
      <c r="B62" s="10">
        <v>0</v>
      </c>
      <c r="C62" s="38">
        <v>0</v>
      </c>
      <c r="D62" s="40">
        <v>0</v>
      </c>
      <c r="E62" s="39">
        <v>6</v>
      </c>
      <c r="F62" s="103">
        <f>-E62</f>
        <v>-6</v>
      </c>
      <c r="G62" s="103">
        <v>0</v>
      </c>
      <c r="H62" s="103">
        <f t="shared" ref="H62:H94" si="11">-F62</f>
        <v>6</v>
      </c>
      <c r="I62" s="103">
        <f t="shared" ref="I62:I94" si="12">-G62</f>
        <v>0</v>
      </c>
      <c r="J62" s="143">
        <f>C62</f>
        <v>0</v>
      </c>
      <c r="K62" s="144">
        <f>D62</f>
        <v>0</v>
      </c>
      <c r="L62">
        <f>A62+J62</f>
        <v>-6</v>
      </c>
      <c r="M62">
        <f>B62+K62</f>
        <v>0</v>
      </c>
      <c r="N62" s="90">
        <f>F62+J62</f>
        <v>-6</v>
      </c>
      <c r="O62" s="19">
        <f>G62+K62</f>
        <v>0</v>
      </c>
      <c r="P62" s="15">
        <f t="shared" ref="P62:P94" si="13">H62+J62</f>
        <v>6</v>
      </c>
      <c r="Q62" s="91">
        <f t="shared" ref="Q62:Q94" si="14">I62+K62</f>
        <v>0</v>
      </c>
      <c r="S62" t="s">
        <v>523</v>
      </c>
      <c r="U62" t="str">
        <f t="shared" ref="U62:U93" si="15">"[TestCase("&amp;L62&amp;", "&amp;M62&amp;", "&amp;ROUND(N62,6)&amp;", "&amp;ROUND(O62,6)&amp;", "&amp;ROUND(P62,6)&amp;", "&amp;ROUND(Q62,6)&amp;")] //"&amp;S62</f>
        <v>[TestCase(-6, 0, -6, 0, 6, 0)] //x-axis - outside</v>
      </c>
      <c r="X62" t="str">
        <f>"[TestCase("&amp;L62&amp;", "&amp;M62&amp;", "&amp;ROUND(N62,6)&amp;", "&amp;ROUND(O62,6)&amp;")] //"&amp;S62</f>
        <v>[TestCase(-6, 0, -6, 0)] //x-axis - outside</v>
      </c>
    </row>
    <row r="63" spans="1:24" x14ac:dyDescent="0.3">
      <c r="A63" s="10">
        <v>0</v>
      </c>
      <c r="B63" s="10">
        <v>6</v>
      </c>
      <c r="C63" s="38">
        <v>0</v>
      </c>
      <c r="D63" s="40">
        <v>0</v>
      </c>
      <c r="E63" s="39">
        <v>6</v>
      </c>
      <c r="F63" s="103">
        <v>0</v>
      </c>
      <c r="G63" s="103">
        <f>E63</f>
        <v>6</v>
      </c>
      <c r="H63" s="103">
        <f t="shared" si="11"/>
        <v>0</v>
      </c>
      <c r="I63" s="103">
        <f t="shared" si="12"/>
        <v>-6</v>
      </c>
      <c r="J63" s="143">
        <f>C63</f>
        <v>0</v>
      </c>
      <c r="K63" s="144">
        <f>D63</f>
        <v>0</v>
      </c>
      <c r="L63">
        <f>A63+J63</f>
        <v>0</v>
      </c>
      <c r="M63">
        <f>B63+K63</f>
        <v>6</v>
      </c>
      <c r="N63" s="90">
        <f>F63+J63</f>
        <v>0</v>
      </c>
      <c r="O63" s="19">
        <f>G63+K63</f>
        <v>6</v>
      </c>
      <c r="P63" s="15">
        <f t="shared" si="13"/>
        <v>0</v>
      </c>
      <c r="Q63" s="91">
        <f t="shared" si="14"/>
        <v>-6</v>
      </c>
      <c r="S63" t="s">
        <v>524</v>
      </c>
      <c r="U63" t="str">
        <f t="shared" si="15"/>
        <v>[TestCase(0, 6, 0, 6, 0, -6)] //y-axis + outside</v>
      </c>
      <c r="X63" t="str">
        <f>"[TestCase("&amp;L63&amp;", "&amp;M63&amp;", "&amp;ROUND(N63,6)&amp;", "&amp;ROUND(O63,6)&amp;")] //"&amp;S63</f>
        <v>[TestCase(0, 6, 0, 6)] //y-axis + outside</v>
      </c>
    </row>
    <row r="64" spans="1:24" x14ac:dyDescent="0.3">
      <c r="A64" s="10">
        <v>0</v>
      </c>
      <c r="B64" s="10">
        <v>-6</v>
      </c>
      <c r="C64" s="38">
        <v>0</v>
      </c>
      <c r="D64" s="40">
        <v>0</v>
      </c>
      <c r="E64" s="39">
        <v>6</v>
      </c>
      <c r="F64" s="103">
        <v>0</v>
      </c>
      <c r="G64" s="103">
        <f>-E64</f>
        <v>-6</v>
      </c>
      <c r="H64" s="103">
        <f t="shared" si="11"/>
        <v>0</v>
      </c>
      <c r="I64" s="103">
        <f t="shared" si="12"/>
        <v>6</v>
      </c>
      <c r="J64" s="143">
        <f>C64</f>
        <v>0</v>
      </c>
      <c r="K64" s="144">
        <f>D64</f>
        <v>0</v>
      </c>
      <c r="L64">
        <f>A64+J64</f>
        <v>0</v>
      </c>
      <c r="M64">
        <f>B64+K64</f>
        <v>-6</v>
      </c>
      <c r="N64" s="90">
        <f>F64+J64</f>
        <v>0</v>
      </c>
      <c r="O64" s="19">
        <f>G64+K64</f>
        <v>-6</v>
      </c>
      <c r="P64" s="15">
        <f t="shared" si="13"/>
        <v>0</v>
      </c>
      <c r="Q64" s="91">
        <f t="shared" si="14"/>
        <v>6</v>
      </c>
      <c r="S64" t="s">
        <v>525</v>
      </c>
      <c r="U64" t="str">
        <f t="shared" si="15"/>
        <v>[TestCase(0, -6, 0, -6, 0, 6)] //y-axis - outside</v>
      </c>
      <c r="X64" t="str">
        <f>"[TestCase("&amp;L64&amp;", "&amp;M64&amp;", "&amp;ROUND(N64,6)&amp;", "&amp;ROUND(O64,6)&amp;")] //"&amp;S64</f>
        <v>[TestCase(0, -6, 0, -6)] //y-axis - outside</v>
      </c>
    </row>
    <row r="65" spans="1:24" s="150" customFormat="1" x14ac:dyDescent="0.3">
      <c r="A65" s="146">
        <v>6</v>
      </c>
      <c r="B65" s="146">
        <v>6</v>
      </c>
      <c r="C65" s="147">
        <v>0</v>
      </c>
      <c r="D65" s="148">
        <v>0</v>
      </c>
      <c r="E65" s="149">
        <v>6</v>
      </c>
      <c r="F65" s="150">
        <f>E65*SIN(PI()/4)</f>
        <v>4.2426406871192848</v>
      </c>
      <c r="G65" s="150">
        <f>E65*COS(PI()/4)</f>
        <v>4.2426406871192857</v>
      </c>
      <c r="H65" s="150">
        <f t="shared" si="11"/>
        <v>-4.2426406871192848</v>
      </c>
      <c r="I65" s="150">
        <f t="shared" si="12"/>
        <v>-4.2426406871192857</v>
      </c>
      <c r="J65" s="151">
        <f>C65</f>
        <v>0</v>
      </c>
      <c r="K65" s="152">
        <f>D65</f>
        <v>0</v>
      </c>
      <c r="L65" s="150">
        <f>A65+J65</f>
        <v>6</v>
      </c>
      <c r="M65" s="150">
        <f>B65+K65</f>
        <v>6</v>
      </c>
      <c r="N65" s="159">
        <f>F65+J65</f>
        <v>4.2426406871192848</v>
      </c>
      <c r="O65" s="154">
        <f>G65+K65</f>
        <v>4.2426406871192857</v>
      </c>
      <c r="P65" s="153">
        <f t="shared" si="13"/>
        <v>-4.2426406871192848</v>
      </c>
      <c r="Q65" s="160">
        <f t="shared" si="14"/>
        <v>-4.2426406871192857</v>
      </c>
      <c r="S65" s="150" t="s">
        <v>534</v>
      </c>
      <c r="U65" t="str">
        <f t="shared" si="15"/>
        <v>[TestCase(6, 6, 4.242641, 4.242641, -4.242641, -4.242641)] //Diagonal Outside Quad 1</v>
      </c>
      <c r="X65" t="str">
        <f>"[TestCase("&amp;L65&amp;", "&amp;M65&amp;", "&amp;ROUND(N65,6)&amp;", "&amp;ROUND(O65,6)&amp;")] //"&amp;S65</f>
        <v>[TestCase(6, 6, 4.242641, 4.242641)] //Diagonal Outside Quad 1</v>
      </c>
    </row>
    <row r="66" spans="1:24" s="150" customFormat="1" x14ac:dyDescent="0.3">
      <c r="A66" s="146">
        <v>-6</v>
      </c>
      <c r="B66" s="146">
        <v>6</v>
      </c>
      <c r="C66" s="147">
        <v>0</v>
      </c>
      <c r="D66" s="148">
        <v>0</v>
      </c>
      <c r="E66" s="149">
        <v>6</v>
      </c>
      <c r="F66" s="150">
        <f>-E66*SIN(PI()/4)</f>
        <v>-4.2426406871192848</v>
      </c>
      <c r="G66" s="150">
        <f t="shared" ref="G66:G68" si="16">E66*COS(PI()/4)</f>
        <v>4.2426406871192857</v>
      </c>
      <c r="H66" s="150">
        <f t="shared" si="11"/>
        <v>4.2426406871192848</v>
      </c>
      <c r="I66" s="150">
        <f t="shared" si="12"/>
        <v>-4.2426406871192857</v>
      </c>
      <c r="J66" s="151">
        <f>C66</f>
        <v>0</v>
      </c>
      <c r="K66" s="152">
        <f>D66</f>
        <v>0</v>
      </c>
      <c r="L66" s="150">
        <f>A66+J66</f>
        <v>-6</v>
      </c>
      <c r="M66" s="150">
        <f>B66+K66</f>
        <v>6</v>
      </c>
      <c r="N66" s="159">
        <f>F66+J66</f>
        <v>-4.2426406871192848</v>
      </c>
      <c r="O66" s="154">
        <f>G66+K66</f>
        <v>4.2426406871192857</v>
      </c>
      <c r="P66" s="153">
        <f t="shared" si="13"/>
        <v>4.2426406871192848</v>
      </c>
      <c r="Q66" s="160">
        <f t="shared" si="14"/>
        <v>-4.2426406871192857</v>
      </c>
      <c r="S66" s="150" t="s">
        <v>535</v>
      </c>
      <c r="U66" t="str">
        <f t="shared" si="15"/>
        <v>[TestCase(-6, 6, -4.242641, 4.242641, 4.242641, -4.242641)] //Diagonal Outside Quad 2</v>
      </c>
      <c r="X66" t="str">
        <f>"[TestCase("&amp;L66&amp;", "&amp;M66&amp;", "&amp;ROUND(N66,6)&amp;", "&amp;ROUND(O66,6)&amp;")] //"&amp;S66</f>
        <v>[TestCase(-6, 6, -4.242641, 4.242641)] //Diagonal Outside Quad 2</v>
      </c>
    </row>
    <row r="67" spans="1:24" s="150" customFormat="1" x14ac:dyDescent="0.3">
      <c r="A67" s="146">
        <v>-6</v>
      </c>
      <c r="B67" s="146">
        <v>-6</v>
      </c>
      <c r="C67" s="147">
        <v>0</v>
      </c>
      <c r="D67" s="148">
        <v>0</v>
      </c>
      <c r="E67" s="149">
        <v>6</v>
      </c>
      <c r="F67" s="150">
        <f>-E67*SIN(PI()/4)</f>
        <v>-4.2426406871192848</v>
      </c>
      <c r="G67" s="150">
        <f>-E67*COS(PI()/4)</f>
        <v>-4.2426406871192857</v>
      </c>
      <c r="H67" s="150">
        <f t="shared" si="11"/>
        <v>4.2426406871192848</v>
      </c>
      <c r="I67" s="150">
        <f t="shared" si="12"/>
        <v>4.2426406871192857</v>
      </c>
      <c r="J67" s="151">
        <f>C67</f>
        <v>0</v>
      </c>
      <c r="K67" s="152">
        <f>D67</f>
        <v>0</v>
      </c>
      <c r="L67" s="150">
        <f>A67+J67</f>
        <v>-6</v>
      </c>
      <c r="M67" s="150">
        <f>B67+K67</f>
        <v>-6</v>
      </c>
      <c r="N67" s="159">
        <f>F67+J67</f>
        <v>-4.2426406871192848</v>
      </c>
      <c r="O67" s="154">
        <f>G67+K67</f>
        <v>-4.2426406871192857</v>
      </c>
      <c r="P67" s="153">
        <f t="shared" si="13"/>
        <v>4.2426406871192848</v>
      </c>
      <c r="Q67" s="160">
        <f t="shared" si="14"/>
        <v>4.2426406871192857</v>
      </c>
      <c r="S67" s="150" t="s">
        <v>536</v>
      </c>
      <c r="U67" t="str">
        <f t="shared" si="15"/>
        <v>[TestCase(-6, -6, -4.242641, -4.242641, 4.242641, 4.242641)] //Diagonal Outside Quad 3</v>
      </c>
      <c r="X67" t="str">
        <f>"[TestCase("&amp;L67&amp;", "&amp;M67&amp;", "&amp;ROUND(N67,6)&amp;", "&amp;ROUND(O67,6)&amp;")] //"&amp;S67</f>
        <v>[TestCase(-6, -6, -4.242641, -4.242641)] //Diagonal Outside Quad 3</v>
      </c>
    </row>
    <row r="68" spans="1:24" s="150" customFormat="1" ht="15" thickBot="1" x14ac:dyDescent="0.35">
      <c r="A68" s="146">
        <v>6</v>
      </c>
      <c r="B68" s="146">
        <v>-6</v>
      </c>
      <c r="C68" s="147">
        <v>0</v>
      </c>
      <c r="D68" s="148">
        <v>0</v>
      </c>
      <c r="E68" s="149">
        <v>6</v>
      </c>
      <c r="F68" s="150">
        <f t="shared" ref="F66:F68" si="17">E68*SIN(PI()/4)</f>
        <v>4.2426406871192848</v>
      </c>
      <c r="G68" s="150">
        <f>-E68*COS(PI()/4)</f>
        <v>-4.2426406871192857</v>
      </c>
      <c r="H68" s="150">
        <f t="shared" si="11"/>
        <v>-4.2426406871192848</v>
      </c>
      <c r="I68" s="150">
        <f t="shared" si="12"/>
        <v>4.2426406871192857</v>
      </c>
      <c r="J68" s="151">
        <f>C68</f>
        <v>0</v>
      </c>
      <c r="K68" s="152">
        <f>D68</f>
        <v>0</v>
      </c>
      <c r="L68" s="150">
        <f>A68+J68</f>
        <v>6</v>
      </c>
      <c r="M68" s="150">
        <f>B68+K68</f>
        <v>-6</v>
      </c>
      <c r="N68" s="159">
        <f>F68+J68</f>
        <v>4.2426406871192848</v>
      </c>
      <c r="O68" s="154">
        <f>G68+K68</f>
        <v>-4.2426406871192857</v>
      </c>
      <c r="P68" s="153">
        <f t="shared" si="13"/>
        <v>-4.2426406871192848</v>
      </c>
      <c r="Q68" s="160">
        <f t="shared" si="14"/>
        <v>4.2426406871192857</v>
      </c>
      <c r="S68" s="150" t="s">
        <v>537</v>
      </c>
      <c r="U68" t="str">
        <f t="shared" si="15"/>
        <v>[TestCase(6, -6, 4.242641, -4.242641, -4.242641, 4.242641)] //Diagonal Outside Quad 4</v>
      </c>
      <c r="X68" t="str">
        <f>"[TestCase("&amp;L68&amp;", "&amp;M68&amp;", "&amp;ROUND(N68,6)&amp;", "&amp;ROUND(O68,6)&amp;")] //"&amp;S68</f>
        <v>[TestCase(6, -6, 4.242641, -4.242641)] //Diagonal Outside Quad 4</v>
      </c>
    </row>
    <row r="69" spans="1:24" ht="15" thickTop="1" x14ac:dyDescent="0.3">
      <c r="A69" s="10">
        <v>1</v>
      </c>
      <c r="B69" s="10">
        <v>0</v>
      </c>
      <c r="C69" s="38">
        <v>0</v>
      </c>
      <c r="D69" s="40">
        <v>0</v>
      </c>
      <c r="E69" s="39">
        <v>6</v>
      </c>
      <c r="F69" s="135">
        <f>E69</f>
        <v>6</v>
      </c>
      <c r="G69" s="135">
        <v>0</v>
      </c>
      <c r="H69">
        <f t="shared" si="11"/>
        <v>-6</v>
      </c>
      <c r="I69">
        <f t="shared" si="12"/>
        <v>0</v>
      </c>
      <c r="J69" s="143">
        <f>C69</f>
        <v>0</v>
      </c>
      <c r="K69" s="144">
        <f>D69</f>
        <v>0</v>
      </c>
      <c r="L69">
        <f>A69+J69</f>
        <v>1</v>
      </c>
      <c r="M69">
        <f>B69+K69</f>
        <v>0</v>
      </c>
      <c r="N69" s="90">
        <f>F69+J69</f>
        <v>6</v>
      </c>
      <c r="O69" s="19">
        <f>G69+K69</f>
        <v>0</v>
      </c>
      <c r="P69" s="15">
        <f t="shared" si="13"/>
        <v>-6</v>
      </c>
      <c r="Q69" s="91">
        <f t="shared" si="14"/>
        <v>0</v>
      </c>
      <c r="S69" t="s">
        <v>526</v>
      </c>
      <c r="U69" t="str">
        <f t="shared" si="15"/>
        <v>[TestCase(1, 0, 6, 0, -6, 0)] //x-axis + inside</v>
      </c>
      <c r="X69" t="str">
        <f>"[TestCase("&amp;L69&amp;", "&amp;M69&amp;", "&amp;ROUND(N69,6)&amp;", "&amp;ROUND(O69,6)&amp;")] //"&amp;S69</f>
        <v>[TestCase(1, 0, 6, 0)] //x-axis + inside</v>
      </c>
    </row>
    <row r="70" spans="1:24" x14ac:dyDescent="0.3">
      <c r="A70" s="10">
        <v>-1</v>
      </c>
      <c r="B70" s="10">
        <v>0</v>
      </c>
      <c r="C70" s="38">
        <v>0</v>
      </c>
      <c r="D70" s="40">
        <v>0</v>
      </c>
      <c r="E70" s="39">
        <v>6</v>
      </c>
      <c r="F70" s="103">
        <f>-E70</f>
        <v>-6</v>
      </c>
      <c r="G70" s="103">
        <v>0</v>
      </c>
      <c r="H70">
        <f t="shared" si="11"/>
        <v>6</v>
      </c>
      <c r="I70">
        <f t="shared" si="12"/>
        <v>0</v>
      </c>
      <c r="J70" s="143">
        <f>C70</f>
        <v>0</v>
      </c>
      <c r="K70" s="144">
        <f>D70</f>
        <v>0</v>
      </c>
      <c r="L70">
        <f>A70+J70</f>
        <v>-1</v>
      </c>
      <c r="M70">
        <f>B70+K70</f>
        <v>0</v>
      </c>
      <c r="N70" s="90">
        <f>F70+J70</f>
        <v>-6</v>
      </c>
      <c r="O70" s="19">
        <f>G70+K70</f>
        <v>0</v>
      </c>
      <c r="P70" s="15">
        <f t="shared" si="13"/>
        <v>6</v>
      </c>
      <c r="Q70" s="91">
        <f t="shared" si="14"/>
        <v>0</v>
      </c>
      <c r="S70" t="s">
        <v>527</v>
      </c>
      <c r="U70" t="str">
        <f t="shared" si="15"/>
        <v>[TestCase(-1, 0, -6, 0, 6, 0)] //x-axis - inside</v>
      </c>
      <c r="X70" t="str">
        <f>"[TestCase("&amp;L70&amp;", "&amp;M70&amp;", "&amp;ROUND(N70,6)&amp;", "&amp;ROUND(O70,6)&amp;")] //"&amp;S70</f>
        <v>[TestCase(-1, 0, -6, 0)] //x-axis - inside</v>
      </c>
    </row>
    <row r="71" spans="1:24" x14ac:dyDescent="0.3">
      <c r="A71" s="10">
        <v>0</v>
      </c>
      <c r="B71" s="10">
        <v>1</v>
      </c>
      <c r="C71" s="38">
        <v>0</v>
      </c>
      <c r="D71" s="40">
        <v>0</v>
      </c>
      <c r="E71" s="39">
        <v>6</v>
      </c>
      <c r="F71" s="103">
        <v>0</v>
      </c>
      <c r="G71" s="103">
        <f>E71</f>
        <v>6</v>
      </c>
      <c r="H71">
        <f t="shared" si="11"/>
        <v>0</v>
      </c>
      <c r="I71">
        <f t="shared" si="12"/>
        <v>-6</v>
      </c>
      <c r="J71" s="143">
        <f>C71</f>
        <v>0</v>
      </c>
      <c r="K71" s="144">
        <f>D71</f>
        <v>0</v>
      </c>
      <c r="L71">
        <f>A71+J71</f>
        <v>0</v>
      </c>
      <c r="M71">
        <f>B71+K71</f>
        <v>1</v>
      </c>
      <c r="N71" s="90">
        <f>F71+J71</f>
        <v>0</v>
      </c>
      <c r="O71" s="19">
        <f>G71+K71</f>
        <v>6</v>
      </c>
      <c r="P71" s="15">
        <f t="shared" si="13"/>
        <v>0</v>
      </c>
      <c r="Q71" s="91">
        <f t="shared" si="14"/>
        <v>-6</v>
      </c>
      <c r="S71" t="s">
        <v>528</v>
      </c>
      <c r="U71" t="str">
        <f t="shared" si="15"/>
        <v>[TestCase(0, 1, 0, 6, 0, -6)] //y-axis + inside</v>
      </c>
      <c r="X71" t="str">
        <f>"[TestCase("&amp;L71&amp;", "&amp;M71&amp;", "&amp;ROUND(N71,6)&amp;", "&amp;ROUND(O71,6)&amp;")] //"&amp;S71</f>
        <v>[TestCase(0, 1, 0, 6)] //y-axis + inside</v>
      </c>
    </row>
    <row r="72" spans="1:24" x14ac:dyDescent="0.3">
      <c r="A72" s="10">
        <v>0</v>
      </c>
      <c r="B72" s="10">
        <v>-1</v>
      </c>
      <c r="C72" s="38">
        <v>0</v>
      </c>
      <c r="D72" s="40">
        <v>0</v>
      </c>
      <c r="E72" s="39">
        <v>6</v>
      </c>
      <c r="F72" s="103">
        <v>0</v>
      </c>
      <c r="G72" s="103">
        <f>-E72</f>
        <v>-6</v>
      </c>
      <c r="H72">
        <f t="shared" si="11"/>
        <v>0</v>
      </c>
      <c r="I72">
        <f t="shared" si="12"/>
        <v>6</v>
      </c>
      <c r="J72" s="143">
        <f>C72</f>
        <v>0</v>
      </c>
      <c r="K72" s="144">
        <f>D72</f>
        <v>0</v>
      </c>
      <c r="L72">
        <f>A72+J72</f>
        <v>0</v>
      </c>
      <c r="M72">
        <f>B72+K72</f>
        <v>-1</v>
      </c>
      <c r="N72" s="90">
        <f>F72+J72</f>
        <v>0</v>
      </c>
      <c r="O72" s="19">
        <f>G72+K72</f>
        <v>-6</v>
      </c>
      <c r="P72" s="15">
        <f t="shared" si="13"/>
        <v>0</v>
      </c>
      <c r="Q72" s="91">
        <f t="shared" si="14"/>
        <v>6</v>
      </c>
      <c r="S72" t="s">
        <v>529</v>
      </c>
      <c r="U72" t="str">
        <f t="shared" si="15"/>
        <v>[TestCase(0, -1, 0, -6, 0, 6)] //y-axis - inside</v>
      </c>
      <c r="X72" t="str">
        <f>"[TestCase("&amp;L72&amp;", "&amp;M72&amp;", "&amp;ROUND(N72,6)&amp;", "&amp;ROUND(O72,6)&amp;")] //"&amp;S72</f>
        <v>[TestCase(0, -1, 0, -6)] //y-axis - inside</v>
      </c>
    </row>
    <row r="73" spans="1:24" s="150" customFormat="1" x14ac:dyDescent="0.3">
      <c r="A73" s="146">
        <v>1</v>
      </c>
      <c r="B73" s="146">
        <v>1</v>
      </c>
      <c r="C73" s="147">
        <v>0</v>
      </c>
      <c r="D73" s="148">
        <v>0</v>
      </c>
      <c r="E73" s="149">
        <v>6</v>
      </c>
      <c r="F73" s="150">
        <f>E73*SIN(PI()/4)</f>
        <v>4.2426406871192848</v>
      </c>
      <c r="G73" s="150">
        <f>E73*COS(PI()/4)</f>
        <v>4.2426406871192857</v>
      </c>
      <c r="H73" s="150">
        <f t="shared" si="11"/>
        <v>-4.2426406871192848</v>
      </c>
      <c r="I73" s="150">
        <f t="shared" si="12"/>
        <v>-4.2426406871192857</v>
      </c>
      <c r="J73" s="151">
        <f>C73</f>
        <v>0</v>
      </c>
      <c r="K73" s="152">
        <f>D73</f>
        <v>0</v>
      </c>
      <c r="L73" s="150">
        <f>A73+J73</f>
        <v>1</v>
      </c>
      <c r="M73" s="150">
        <f>B73+K73</f>
        <v>1</v>
      </c>
      <c r="N73" s="159">
        <f>F73+J73</f>
        <v>4.2426406871192848</v>
      </c>
      <c r="O73" s="154">
        <f>G73+K73</f>
        <v>4.2426406871192857</v>
      </c>
      <c r="P73" s="153">
        <f t="shared" si="13"/>
        <v>-4.2426406871192848</v>
      </c>
      <c r="Q73" s="160">
        <f t="shared" si="14"/>
        <v>-4.2426406871192857</v>
      </c>
      <c r="S73" s="150" t="s">
        <v>538</v>
      </c>
      <c r="U73" t="str">
        <f t="shared" si="15"/>
        <v>[TestCase(1, 1, 4.242641, 4.242641, -4.242641, -4.242641)] //Diagonal inside Quad 1</v>
      </c>
      <c r="X73" t="str">
        <f>"[TestCase("&amp;L73&amp;", "&amp;M73&amp;", "&amp;ROUND(N73,6)&amp;", "&amp;ROUND(O73,6)&amp;")] //"&amp;S73</f>
        <v>[TestCase(1, 1, 4.242641, 4.242641)] //Diagonal inside Quad 1</v>
      </c>
    </row>
    <row r="74" spans="1:24" s="150" customFormat="1" x14ac:dyDescent="0.3">
      <c r="A74" s="146">
        <v>-1</v>
      </c>
      <c r="B74" s="146">
        <v>1</v>
      </c>
      <c r="C74" s="147">
        <v>0</v>
      </c>
      <c r="D74" s="148">
        <v>0</v>
      </c>
      <c r="E74" s="149">
        <v>6</v>
      </c>
      <c r="F74" s="150">
        <f>-E74*SIN(PI()/4)</f>
        <v>-4.2426406871192848</v>
      </c>
      <c r="G74" s="150">
        <f t="shared" ref="G74:G76" si="18">E74*COS(PI()/4)</f>
        <v>4.2426406871192857</v>
      </c>
      <c r="H74" s="150">
        <f t="shared" si="11"/>
        <v>4.2426406871192848</v>
      </c>
      <c r="I74" s="150">
        <f t="shared" si="12"/>
        <v>-4.2426406871192857</v>
      </c>
      <c r="J74" s="151">
        <f>C74</f>
        <v>0</v>
      </c>
      <c r="K74" s="152">
        <f>D74</f>
        <v>0</v>
      </c>
      <c r="L74" s="150">
        <f>A74+J74</f>
        <v>-1</v>
      </c>
      <c r="M74" s="150">
        <f>B74+K74</f>
        <v>1</v>
      </c>
      <c r="N74" s="159">
        <f>F74+J74</f>
        <v>-4.2426406871192848</v>
      </c>
      <c r="O74" s="154">
        <f>G74+K74</f>
        <v>4.2426406871192857</v>
      </c>
      <c r="P74" s="153">
        <f t="shared" si="13"/>
        <v>4.2426406871192848</v>
      </c>
      <c r="Q74" s="160">
        <f t="shared" si="14"/>
        <v>-4.2426406871192857</v>
      </c>
      <c r="S74" s="150" t="s">
        <v>539</v>
      </c>
      <c r="U74" t="str">
        <f t="shared" si="15"/>
        <v>[TestCase(-1, 1, -4.242641, 4.242641, 4.242641, -4.242641)] //Diagonal inside Quad 2</v>
      </c>
      <c r="X74" t="str">
        <f>"[TestCase("&amp;L74&amp;", "&amp;M74&amp;", "&amp;ROUND(N74,6)&amp;", "&amp;ROUND(O74,6)&amp;")] //"&amp;S74</f>
        <v>[TestCase(-1, 1, -4.242641, 4.242641)] //Diagonal inside Quad 2</v>
      </c>
    </row>
    <row r="75" spans="1:24" s="150" customFormat="1" x14ac:dyDescent="0.3">
      <c r="A75" s="146">
        <v>-1</v>
      </c>
      <c r="B75" s="146">
        <v>-1</v>
      </c>
      <c r="C75" s="147">
        <v>0</v>
      </c>
      <c r="D75" s="148">
        <v>0</v>
      </c>
      <c r="E75" s="149">
        <v>6</v>
      </c>
      <c r="F75" s="150">
        <f>-E75*SIN(PI()/4)</f>
        <v>-4.2426406871192848</v>
      </c>
      <c r="G75" s="150">
        <f>-E75*COS(PI()/4)</f>
        <v>-4.2426406871192857</v>
      </c>
      <c r="H75" s="150">
        <f t="shared" si="11"/>
        <v>4.2426406871192848</v>
      </c>
      <c r="I75" s="150">
        <f t="shared" si="12"/>
        <v>4.2426406871192857</v>
      </c>
      <c r="J75" s="151">
        <f>C75</f>
        <v>0</v>
      </c>
      <c r="K75" s="152">
        <f>D75</f>
        <v>0</v>
      </c>
      <c r="L75" s="150">
        <f>A75+J75</f>
        <v>-1</v>
      </c>
      <c r="M75" s="150">
        <f>B75+K75</f>
        <v>-1</v>
      </c>
      <c r="N75" s="159">
        <f>F75+J75</f>
        <v>-4.2426406871192848</v>
      </c>
      <c r="O75" s="154">
        <f>G75+K75</f>
        <v>-4.2426406871192857</v>
      </c>
      <c r="P75" s="153">
        <f t="shared" si="13"/>
        <v>4.2426406871192848</v>
      </c>
      <c r="Q75" s="160">
        <f t="shared" si="14"/>
        <v>4.2426406871192857</v>
      </c>
      <c r="S75" s="150" t="s">
        <v>540</v>
      </c>
      <c r="U75" t="str">
        <f t="shared" si="15"/>
        <v>[TestCase(-1, -1, -4.242641, -4.242641, 4.242641, 4.242641)] //Diagonal inside Quad 3</v>
      </c>
      <c r="X75" t="str">
        <f>"[TestCase("&amp;L75&amp;", "&amp;M75&amp;", "&amp;ROUND(N75,6)&amp;", "&amp;ROUND(O75,6)&amp;")] //"&amp;S75</f>
        <v>[TestCase(-1, -1, -4.242641, -4.242641)] //Diagonal inside Quad 3</v>
      </c>
    </row>
    <row r="76" spans="1:24" s="150" customFormat="1" x14ac:dyDescent="0.3">
      <c r="A76" s="146">
        <v>1</v>
      </c>
      <c r="B76" s="146">
        <v>-1</v>
      </c>
      <c r="C76" s="147">
        <v>0</v>
      </c>
      <c r="D76" s="148">
        <v>0</v>
      </c>
      <c r="E76" s="149">
        <v>6</v>
      </c>
      <c r="F76" s="150">
        <f t="shared" ref="F76" si="19">E76*SIN(PI()/4)</f>
        <v>4.2426406871192848</v>
      </c>
      <c r="G76" s="150">
        <f>-E76*COS(PI()/4)</f>
        <v>-4.2426406871192857</v>
      </c>
      <c r="H76" s="150">
        <f t="shared" si="11"/>
        <v>-4.2426406871192848</v>
      </c>
      <c r="I76" s="150">
        <f t="shared" si="12"/>
        <v>4.2426406871192857</v>
      </c>
      <c r="J76" s="151">
        <f>C76</f>
        <v>0</v>
      </c>
      <c r="K76" s="152">
        <f>D76</f>
        <v>0</v>
      </c>
      <c r="L76" s="150">
        <f>A76+J76</f>
        <v>1</v>
      </c>
      <c r="M76" s="150">
        <f>B76+K76</f>
        <v>-1</v>
      </c>
      <c r="N76" s="159">
        <f>F76+J76</f>
        <v>4.2426406871192848</v>
      </c>
      <c r="O76" s="154">
        <f>G76+K76</f>
        <v>-4.2426406871192857</v>
      </c>
      <c r="P76" s="153">
        <f t="shared" si="13"/>
        <v>-4.2426406871192848</v>
      </c>
      <c r="Q76" s="160">
        <f t="shared" si="14"/>
        <v>4.2426406871192857</v>
      </c>
      <c r="S76" s="150" t="s">
        <v>541</v>
      </c>
      <c r="U76" t="str">
        <f t="shared" si="15"/>
        <v>[TestCase(1, -1, 4.242641, -4.242641, -4.242641, 4.242641)] //Diagonal inside Quad 4</v>
      </c>
      <c r="X76" t="str">
        <f>"[TestCase("&amp;L76&amp;", "&amp;M76&amp;", "&amp;ROUND(N76,6)&amp;", "&amp;ROUND(O76,6)&amp;")] //"&amp;S76</f>
        <v>[TestCase(1, -1, 4.242641, -4.242641)] //Diagonal inside Quad 4</v>
      </c>
    </row>
    <row r="77" spans="1:24" ht="15" thickBot="1" x14ac:dyDescent="0.35">
      <c r="A77" s="10">
        <v>0</v>
      </c>
      <c r="B77" s="10">
        <v>0</v>
      </c>
      <c r="C77" s="38">
        <v>0</v>
      </c>
      <c r="D77" s="40">
        <v>0</v>
      </c>
      <c r="E77" s="39">
        <v>6</v>
      </c>
      <c r="F77" s="38" t="s">
        <v>530</v>
      </c>
      <c r="G77" s="39" t="s">
        <v>530</v>
      </c>
      <c r="H77" t="e">
        <f t="shared" si="11"/>
        <v>#VALUE!</v>
      </c>
      <c r="I77" t="e">
        <f t="shared" si="12"/>
        <v>#VALUE!</v>
      </c>
      <c r="J77" s="143">
        <f>C77</f>
        <v>0</v>
      </c>
      <c r="K77" s="144">
        <f>D77</f>
        <v>0</v>
      </c>
      <c r="N77" s="161" t="s">
        <v>530</v>
      </c>
      <c r="O77" s="39" t="s">
        <v>530</v>
      </c>
      <c r="P77" s="15" t="e">
        <f t="shared" si="13"/>
        <v>#VALUE!</v>
      </c>
      <c r="Q77" s="91" t="e">
        <f t="shared" si="14"/>
        <v>#VALUE!</v>
      </c>
      <c r="S77" t="s">
        <v>490</v>
      </c>
      <c r="U77" t="e">
        <f t="shared" si="15"/>
        <v>#VALUE!</v>
      </c>
    </row>
    <row r="78" spans="1:24" ht="15" thickTop="1" x14ac:dyDescent="0.3">
      <c r="A78" s="94">
        <v>6</v>
      </c>
      <c r="B78" s="94">
        <v>0</v>
      </c>
      <c r="C78" s="138">
        <v>4</v>
      </c>
      <c r="D78" s="94">
        <v>5</v>
      </c>
      <c r="E78" s="139">
        <v>6</v>
      </c>
      <c r="F78" s="135">
        <f>E78</f>
        <v>6</v>
      </c>
      <c r="G78" s="135">
        <v>0</v>
      </c>
      <c r="H78">
        <f t="shared" si="11"/>
        <v>-6</v>
      </c>
      <c r="I78">
        <f t="shared" si="12"/>
        <v>0</v>
      </c>
      <c r="J78" s="141">
        <f>C78</f>
        <v>4</v>
      </c>
      <c r="K78" s="142">
        <f>D78</f>
        <v>5</v>
      </c>
      <c r="L78" s="95">
        <f>A78+J78</f>
        <v>10</v>
      </c>
      <c r="M78" s="95">
        <f>B78+K78</f>
        <v>5</v>
      </c>
      <c r="N78" s="158">
        <f>F78+J78</f>
        <v>10</v>
      </c>
      <c r="O78" s="145">
        <f>G78+K78</f>
        <v>5</v>
      </c>
      <c r="P78" s="15">
        <f t="shared" si="13"/>
        <v>-2</v>
      </c>
      <c r="Q78" s="91">
        <f t="shared" si="14"/>
        <v>5</v>
      </c>
      <c r="S78" t="s">
        <v>522</v>
      </c>
      <c r="U78" t="str">
        <f t="shared" si="15"/>
        <v>[TestCase(10, 5, 10, 5, -2, 5)] //x-axis + outside</v>
      </c>
      <c r="X78" t="str">
        <f>"[TestCase("&amp;L78&amp;", "&amp;M78&amp;", "&amp;ROUND(N78,6)&amp;", "&amp;ROUND(O78,6)&amp;")] //"&amp;S78</f>
        <v>[TestCase(10, 5, 10, 5)] //x-axis + outside</v>
      </c>
    </row>
    <row r="79" spans="1:24" x14ac:dyDescent="0.3">
      <c r="A79" s="10">
        <v>-6</v>
      </c>
      <c r="B79" s="10">
        <v>0</v>
      </c>
      <c r="C79" s="38">
        <v>4</v>
      </c>
      <c r="D79" s="40">
        <v>5</v>
      </c>
      <c r="E79" s="39">
        <v>6</v>
      </c>
      <c r="F79" s="103">
        <f>-E79</f>
        <v>-6</v>
      </c>
      <c r="G79" s="103">
        <v>0</v>
      </c>
      <c r="H79">
        <f t="shared" si="11"/>
        <v>6</v>
      </c>
      <c r="I79">
        <f t="shared" si="12"/>
        <v>0</v>
      </c>
      <c r="J79" s="143">
        <f>C79</f>
        <v>4</v>
      </c>
      <c r="K79" s="144">
        <f>D79</f>
        <v>5</v>
      </c>
      <c r="L79">
        <f>A79+J79</f>
        <v>-2</v>
      </c>
      <c r="M79">
        <f>B79+K79</f>
        <v>5</v>
      </c>
      <c r="N79" s="90">
        <f>F79+J79</f>
        <v>-2</v>
      </c>
      <c r="O79" s="19">
        <f>G79+K79</f>
        <v>5</v>
      </c>
      <c r="P79" s="15">
        <f t="shared" si="13"/>
        <v>10</v>
      </c>
      <c r="Q79" s="91">
        <f t="shared" si="14"/>
        <v>5</v>
      </c>
      <c r="S79" t="s">
        <v>523</v>
      </c>
      <c r="U79" t="str">
        <f t="shared" si="15"/>
        <v>[TestCase(-2, 5, -2, 5, 10, 5)] //x-axis - outside</v>
      </c>
      <c r="X79" t="str">
        <f>"[TestCase("&amp;L79&amp;", "&amp;M79&amp;", "&amp;ROUND(N79,6)&amp;", "&amp;ROUND(O79,6)&amp;")] //"&amp;S79</f>
        <v>[TestCase(-2, 5, -2, 5)] //x-axis - outside</v>
      </c>
    </row>
    <row r="80" spans="1:24" x14ac:dyDescent="0.3">
      <c r="A80" s="10">
        <v>0</v>
      </c>
      <c r="B80" s="10">
        <v>6</v>
      </c>
      <c r="C80" s="38">
        <v>4</v>
      </c>
      <c r="D80" s="40">
        <v>5</v>
      </c>
      <c r="E80" s="39">
        <v>6</v>
      </c>
      <c r="F80" s="103">
        <v>0</v>
      </c>
      <c r="G80" s="103">
        <f>E80</f>
        <v>6</v>
      </c>
      <c r="H80">
        <f t="shared" si="11"/>
        <v>0</v>
      </c>
      <c r="I80">
        <f t="shared" si="12"/>
        <v>-6</v>
      </c>
      <c r="J80" s="143">
        <f>C80</f>
        <v>4</v>
      </c>
      <c r="K80" s="144">
        <f>D80</f>
        <v>5</v>
      </c>
      <c r="L80">
        <f>A80+J80</f>
        <v>4</v>
      </c>
      <c r="M80">
        <f>B80+K80</f>
        <v>11</v>
      </c>
      <c r="N80" s="90">
        <f>F80+J80</f>
        <v>4</v>
      </c>
      <c r="O80" s="19">
        <f>G80+K80</f>
        <v>11</v>
      </c>
      <c r="P80" s="15">
        <f t="shared" si="13"/>
        <v>4</v>
      </c>
      <c r="Q80" s="91">
        <f t="shared" si="14"/>
        <v>-1</v>
      </c>
      <c r="S80" t="s">
        <v>524</v>
      </c>
      <c r="U80" t="str">
        <f t="shared" si="15"/>
        <v>[TestCase(4, 11, 4, 11, 4, -1)] //y-axis + outside</v>
      </c>
      <c r="X80" t="str">
        <f>"[TestCase("&amp;L80&amp;", "&amp;M80&amp;", "&amp;ROUND(N80,6)&amp;", "&amp;ROUND(O80,6)&amp;")] //"&amp;S80</f>
        <v>[TestCase(4, 11, 4, 11)] //y-axis + outside</v>
      </c>
    </row>
    <row r="81" spans="1:24" x14ac:dyDescent="0.3">
      <c r="A81" s="10">
        <v>0</v>
      </c>
      <c r="B81" s="10">
        <v>-6</v>
      </c>
      <c r="C81" s="38">
        <v>4</v>
      </c>
      <c r="D81" s="40">
        <v>5</v>
      </c>
      <c r="E81" s="39">
        <v>6</v>
      </c>
      <c r="F81" s="103">
        <v>0</v>
      </c>
      <c r="G81" s="103">
        <f>-E81</f>
        <v>-6</v>
      </c>
      <c r="H81">
        <f t="shared" si="11"/>
        <v>0</v>
      </c>
      <c r="I81">
        <f t="shared" si="12"/>
        <v>6</v>
      </c>
      <c r="J81" s="143">
        <f>C81</f>
        <v>4</v>
      </c>
      <c r="K81" s="144">
        <f>D81</f>
        <v>5</v>
      </c>
      <c r="L81">
        <f>A81+J81</f>
        <v>4</v>
      </c>
      <c r="M81">
        <f>B81+K81</f>
        <v>-1</v>
      </c>
      <c r="N81" s="90">
        <f>F81+J81</f>
        <v>4</v>
      </c>
      <c r="O81" s="19">
        <f>G81+K81</f>
        <v>-1</v>
      </c>
      <c r="P81" s="15">
        <f t="shared" si="13"/>
        <v>4</v>
      </c>
      <c r="Q81" s="91">
        <f t="shared" si="14"/>
        <v>11</v>
      </c>
      <c r="S81" t="s">
        <v>525</v>
      </c>
      <c r="U81" t="str">
        <f t="shared" si="15"/>
        <v>[TestCase(4, -1, 4, -1, 4, 11)] //y-axis - outside</v>
      </c>
      <c r="X81" t="str">
        <f>"[TestCase("&amp;L81&amp;", "&amp;M81&amp;", "&amp;ROUND(N81,6)&amp;", "&amp;ROUND(O81,6)&amp;")] //"&amp;S81</f>
        <v>[TestCase(4, -1, 4, -1)] //y-axis - outside</v>
      </c>
    </row>
    <row r="82" spans="1:24" x14ac:dyDescent="0.3">
      <c r="A82" s="146">
        <v>6</v>
      </c>
      <c r="B82" s="146">
        <v>6</v>
      </c>
      <c r="C82" s="147">
        <v>4</v>
      </c>
      <c r="D82" s="148">
        <v>5</v>
      </c>
      <c r="E82" s="149">
        <v>6</v>
      </c>
      <c r="F82" s="150">
        <f>E82*SIN(PI()/4)</f>
        <v>4.2426406871192848</v>
      </c>
      <c r="G82" s="150">
        <f>E82*COS(PI()/4)</f>
        <v>4.2426406871192857</v>
      </c>
      <c r="H82">
        <f t="shared" si="11"/>
        <v>-4.2426406871192848</v>
      </c>
      <c r="I82">
        <f t="shared" si="12"/>
        <v>-4.2426406871192857</v>
      </c>
      <c r="J82" s="151">
        <f>C82</f>
        <v>4</v>
      </c>
      <c r="K82" s="152">
        <f>D82</f>
        <v>5</v>
      </c>
      <c r="L82" s="150">
        <f>A82+J82</f>
        <v>10</v>
      </c>
      <c r="M82" s="150">
        <f>B82+K82</f>
        <v>11</v>
      </c>
      <c r="N82" s="159">
        <f>F82+J82</f>
        <v>8.2426406871192839</v>
      </c>
      <c r="O82" s="154">
        <f>G82+K82</f>
        <v>9.2426406871192857</v>
      </c>
      <c r="P82" s="153">
        <f t="shared" si="13"/>
        <v>-0.24264068711928477</v>
      </c>
      <c r="Q82" s="91">
        <f t="shared" si="14"/>
        <v>0.75735931288071434</v>
      </c>
      <c r="S82" s="150" t="s">
        <v>534</v>
      </c>
      <c r="T82" s="150"/>
      <c r="U82" t="str">
        <f t="shared" si="15"/>
        <v>[TestCase(10, 11, 8.242641, 9.242641, -0.242641, 0.757359)] //Diagonal Outside Quad 1</v>
      </c>
      <c r="X82" t="str">
        <f>"[TestCase("&amp;L82&amp;", "&amp;M82&amp;", "&amp;ROUND(N82,6)&amp;", "&amp;ROUND(O82,6)&amp;")] //"&amp;S82</f>
        <v>[TestCase(10, 11, 8.242641, 9.242641)] //Diagonal Outside Quad 1</v>
      </c>
    </row>
    <row r="83" spans="1:24" x14ac:dyDescent="0.3">
      <c r="A83" s="146">
        <v>-6</v>
      </c>
      <c r="B83" s="146">
        <v>6</v>
      </c>
      <c r="C83" s="147">
        <v>4</v>
      </c>
      <c r="D83" s="148">
        <v>5</v>
      </c>
      <c r="E83" s="149">
        <v>6</v>
      </c>
      <c r="F83" s="150">
        <f>-E83*SIN(PI()/4)</f>
        <v>-4.2426406871192848</v>
      </c>
      <c r="G83" s="150">
        <f t="shared" ref="G83:G85" si="20">E83*COS(PI()/4)</f>
        <v>4.2426406871192857</v>
      </c>
      <c r="H83">
        <f t="shared" si="11"/>
        <v>4.2426406871192848</v>
      </c>
      <c r="I83">
        <f t="shared" si="12"/>
        <v>-4.2426406871192857</v>
      </c>
      <c r="J83" s="151">
        <f>C83</f>
        <v>4</v>
      </c>
      <c r="K83" s="152">
        <f>D83</f>
        <v>5</v>
      </c>
      <c r="L83" s="150">
        <f>A83+J83</f>
        <v>-2</v>
      </c>
      <c r="M83" s="150">
        <f>B83+K83</f>
        <v>11</v>
      </c>
      <c r="N83" s="159">
        <f>F83+J83</f>
        <v>-0.24264068711928477</v>
      </c>
      <c r="O83" s="154">
        <f>G83+K83</f>
        <v>9.2426406871192857</v>
      </c>
      <c r="P83" s="153">
        <f t="shared" si="13"/>
        <v>8.2426406871192839</v>
      </c>
      <c r="Q83" s="91">
        <f t="shared" si="14"/>
        <v>0.75735931288071434</v>
      </c>
      <c r="S83" s="150" t="s">
        <v>535</v>
      </c>
      <c r="T83" s="150"/>
      <c r="U83" t="str">
        <f t="shared" si="15"/>
        <v>[TestCase(-2, 11, -0.242641, 9.242641, 8.242641, 0.757359)] //Diagonal Outside Quad 2</v>
      </c>
      <c r="X83" t="str">
        <f>"[TestCase("&amp;L83&amp;", "&amp;M83&amp;", "&amp;ROUND(N83,6)&amp;", "&amp;ROUND(O83,6)&amp;")] //"&amp;S83</f>
        <v>[TestCase(-2, 11, -0.242641, 9.242641)] //Diagonal Outside Quad 2</v>
      </c>
    </row>
    <row r="84" spans="1:24" x14ac:dyDescent="0.3">
      <c r="A84" s="146">
        <v>-6</v>
      </c>
      <c r="B84" s="146">
        <v>-6</v>
      </c>
      <c r="C84" s="147">
        <v>4</v>
      </c>
      <c r="D84" s="148">
        <v>5</v>
      </c>
      <c r="E84" s="149">
        <v>6</v>
      </c>
      <c r="F84" s="150">
        <f>-E84*SIN(PI()/4)</f>
        <v>-4.2426406871192848</v>
      </c>
      <c r="G84" s="150">
        <f>-E84*COS(PI()/4)</f>
        <v>-4.2426406871192857</v>
      </c>
      <c r="H84">
        <f t="shared" si="11"/>
        <v>4.2426406871192848</v>
      </c>
      <c r="I84">
        <f t="shared" si="12"/>
        <v>4.2426406871192857</v>
      </c>
      <c r="J84" s="151">
        <f>C84</f>
        <v>4</v>
      </c>
      <c r="K84" s="152">
        <f>D84</f>
        <v>5</v>
      </c>
      <c r="L84" s="150">
        <f>A84+J84</f>
        <v>-2</v>
      </c>
      <c r="M84" s="150">
        <f>B84+K84</f>
        <v>-1</v>
      </c>
      <c r="N84" s="159">
        <f>F84+J84</f>
        <v>-0.24264068711928477</v>
      </c>
      <c r="O84" s="154">
        <f>G84+K84</f>
        <v>0.75735931288071434</v>
      </c>
      <c r="P84" s="153">
        <f t="shared" si="13"/>
        <v>8.2426406871192839</v>
      </c>
      <c r="Q84" s="91">
        <f t="shared" si="14"/>
        <v>9.2426406871192857</v>
      </c>
      <c r="S84" s="150" t="s">
        <v>536</v>
      </c>
      <c r="T84" s="150"/>
      <c r="U84" t="str">
        <f t="shared" si="15"/>
        <v>[TestCase(-2, -1, -0.242641, 0.757359, 8.242641, 9.242641)] //Diagonal Outside Quad 3</v>
      </c>
      <c r="X84" t="str">
        <f>"[TestCase("&amp;L84&amp;", "&amp;M84&amp;", "&amp;ROUND(N84,6)&amp;", "&amp;ROUND(O84,6)&amp;")] //"&amp;S84</f>
        <v>[TestCase(-2, -1, -0.242641, 0.757359)] //Diagonal Outside Quad 3</v>
      </c>
    </row>
    <row r="85" spans="1:24" ht="15" thickBot="1" x14ac:dyDescent="0.35">
      <c r="A85" s="146">
        <v>6</v>
      </c>
      <c r="B85" s="146">
        <v>-6</v>
      </c>
      <c r="C85" s="147">
        <v>4</v>
      </c>
      <c r="D85" s="148">
        <v>5</v>
      </c>
      <c r="E85" s="149">
        <v>6</v>
      </c>
      <c r="F85" s="150">
        <f t="shared" ref="F85" si="21">E85*SIN(PI()/4)</f>
        <v>4.2426406871192848</v>
      </c>
      <c r="G85" s="150">
        <f>-E85*COS(PI()/4)</f>
        <v>-4.2426406871192857</v>
      </c>
      <c r="H85">
        <f t="shared" si="11"/>
        <v>-4.2426406871192848</v>
      </c>
      <c r="I85">
        <f t="shared" si="12"/>
        <v>4.2426406871192857</v>
      </c>
      <c r="J85" s="151">
        <f>C85</f>
        <v>4</v>
      </c>
      <c r="K85" s="152">
        <f>D85</f>
        <v>5</v>
      </c>
      <c r="L85" s="150">
        <f>A85+J85</f>
        <v>10</v>
      </c>
      <c r="M85" s="150">
        <f>B85+K85</f>
        <v>-1</v>
      </c>
      <c r="N85" s="159">
        <f>F85+J85</f>
        <v>8.2426406871192839</v>
      </c>
      <c r="O85" s="154">
        <f>G85+K85</f>
        <v>0.75735931288071434</v>
      </c>
      <c r="P85" s="153">
        <f t="shared" si="13"/>
        <v>-0.24264068711928477</v>
      </c>
      <c r="Q85" s="91">
        <f t="shared" si="14"/>
        <v>9.2426406871192857</v>
      </c>
      <c r="S85" s="150" t="s">
        <v>537</v>
      </c>
      <c r="T85" s="150"/>
      <c r="U85" t="str">
        <f t="shared" si="15"/>
        <v>[TestCase(10, -1, 8.242641, 0.757359, -0.242641, 9.242641)] //Diagonal Outside Quad 4</v>
      </c>
      <c r="X85" t="str">
        <f>"[TestCase("&amp;L85&amp;", "&amp;M85&amp;", "&amp;ROUND(N85,6)&amp;", "&amp;ROUND(O85,6)&amp;")] //"&amp;S85</f>
        <v>[TestCase(10, -1, 8.242641, 0.757359)] //Diagonal Outside Quad 4</v>
      </c>
    </row>
    <row r="86" spans="1:24" ht="15" thickTop="1" x14ac:dyDescent="0.3">
      <c r="A86" s="10">
        <v>1</v>
      </c>
      <c r="B86" s="10">
        <v>0</v>
      </c>
      <c r="C86" s="38">
        <v>4</v>
      </c>
      <c r="D86" s="40">
        <v>5</v>
      </c>
      <c r="E86" s="39">
        <v>6</v>
      </c>
      <c r="F86" s="135">
        <f>E86</f>
        <v>6</v>
      </c>
      <c r="G86" s="135">
        <v>0</v>
      </c>
      <c r="H86">
        <f t="shared" si="11"/>
        <v>-6</v>
      </c>
      <c r="I86">
        <f t="shared" si="12"/>
        <v>0</v>
      </c>
      <c r="J86" s="143">
        <f>C86</f>
        <v>4</v>
      </c>
      <c r="K86" s="144">
        <f>D86</f>
        <v>5</v>
      </c>
      <c r="L86">
        <f>A86+J86</f>
        <v>5</v>
      </c>
      <c r="M86">
        <f>B86+K86</f>
        <v>5</v>
      </c>
      <c r="N86" s="90">
        <f>F86+J86</f>
        <v>10</v>
      </c>
      <c r="O86" s="19">
        <f>G86+K86</f>
        <v>5</v>
      </c>
      <c r="P86" s="15">
        <f t="shared" si="13"/>
        <v>-2</v>
      </c>
      <c r="Q86" s="91">
        <f t="shared" si="14"/>
        <v>5</v>
      </c>
      <c r="S86" t="s">
        <v>526</v>
      </c>
      <c r="U86" t="str">
        <f t="shared" si="15"/>
        <v>[TestCase(5, 5, 10, 5, -2, 5)] //x-axis + inside</v>
      </c>
      <c r="X86" t="str">
        <f>"[TestCase("&amp;L86&amp;", "&amp;M86&amp;", "&amp;ROUND(N86,6)&amp;", "&amp;ROUND(O86,6)&amp;")] //"&amp;S86</f>
        <v>[TestCase(5, 5, 10, 5)] //x-axis + inside</v>
      </c>
    </row>
    <row r="87" spans="1:24" x14ac:dyDescent="0.3">
      <c r="A87" s="10">
        <v>-1</v>
      </c>
      <c r="B87" s="10">
        <v>0</v>
      </c>
      <c r="C87" s="38">
        <v>4</v>
      </c>
      <c r="D87" s="40">
        <v>5</v>
      </c>
      <c r="E87" s="39">
        <v>6</v>
      </c>
      <c r="F87" s="103">
        <f>-E87</f>
        <v>-6</v>
      </c>
      <c r="G87" s="103">
        <v>0</v>
      </c>
      <c r="H87">
        <f t="shared" si="11"/>
        <v>6</v>
      </c>
      <c r="I87">
        <f t="shared" si="12"/>
        <v>0</v>
      </c>
      <c r="J87" s="143">
        <f>C87</f>
        <v>4</v>
      </c>
      <c r="K87" s="144">
        <f>D87</f>
        <v>5</v>
      </c>
      <c r="L87">
        <f>A87+J87</f>
        <v>3</v>
      </c>
      <c r="M87">
        <f>B87+K87</f>
        <v>5</v>
      </c>
      <c r="N87" s="90">
        <f>F87+J87</f>
        <v>-2</v>
      </c>
      <c r="O87" s="19">
        <f>G87+K87</f>
        <v>5</v>
      </c>
      <c r="P87" s="15">
        <f t="shared" si="13"/>
        <v>10</v>
      </c>
      <c r="Q87" s="91">
        <f t="shared" si="14"/>
        <v>5</v>
      </c>
      <c r="S87" t="s">
        <v>527</v>
      </c>
      <c r="U87" t="str">
        <f t="shared" si="15"/>
        <v>[TestCase(3, 5, -2, 5, 10, 5)] //x-axis - inside</v>
      </c>
      <c r="X87" t="str">
        <f>"[TestCase("&amp;L87&amp;", "&amp;M87&amp;", "&amp;ROUND(N87,6)&amp;", "&amp;ROUND(O87,6)&amp;")] //"&amp;S87</f>
        <v>[TestCase(3, 5, -2, 5)] //x-axis - inside</v>
      </c>
    </row>
    <row r="88" spans="1:24" x14ac:dyDescent="0.3">
      <c r="A88" s="10">
        <v>0</v>
      </c>
      <c r="B88" s="10">
        <v>1</v>
      </c>
      <c r="C88" s="38">
        <v>4</v>
      </c>
      <c r="D88" s="40">
        <v>5</v>
      </c>
      <c r="E88" s="39">
        <v>6</v>
      </c>
      <c r="F88" s="103">
        <v>0</v>
      </c>
      <c r="G88" s="103">
        <f>E88</f>
        <v>6</v>
      </c>
      <c r="H88">
        <f t="shared" si="11"/>
        <v>0</v>
      </c>
      <c r="I88">
        <f t="shared" si="12"/>
        <v>-6</v>
      </c>
      <c r="J88" s="143">
        <f>C88</f>
        <v>4</v>
      </c>
      <c r="K88" s="144">
        <f>D88</f>
        <v>5</v>
      </c>
      <c r="L88">
        <f>A88+J88</f>
        <v>4</v>
      </c>
      <c r="M88">
        <f>B88+K88</f>
        <v>6</v>
      </c>
      <c r="N88" s="90">
        <f>F88+J88</f>
        <v>4</v>
      </c>
      <c r="O88" s="19">
        <f>G88+K88</f>
        <v>11</v>
      </c>
      <c r="P88" s="15">
        <f t="shared" si="13"/>
        <v>4</v>
      </c>
      <c r="Q88" s="91">
        <f t="shared" si="14"/>
        <v>-1</v>
      </c>
      <c r="S88" t="s">
        <v>528</v>
      </c>
      <c r="U88" t="str">
        <f t="shared" si="15"/>
        <v>[TestCase(4, 6, 4, 11, 4, -1)] //y-axis + inside</v>
      </c>
      <c r="X88" t="str">
        <f>"[TestCase("&amp;L88&amp;", "&amp;M88&amp;", "&amp;ROUND(N88,6)&amp;", "&amp;ROUND(O88,6)&amp;")] //"&amp;S88</f>
        <v>[TestCase(4, 6, 4, 11)] //y-axis + inside</v>
      </c>
    </row>
    <row r="89" spans="1:24" x14ac:dyDescent="0.3">
      <c r="A89" s="10">
        <v>0</v>
      </c>
      <c r="B89" s="10">
        <v>-1</v>
      </c>
      <c r="C89" s="38">
        <v>4</v>
      </c>
      <c r="D89" s="40">
        <v>5</v>
      </c>
      <c r="E89" s="39">
        <v>6</v>
      </c>
      <c r="F89" s="103">
        <v>0</v>
      </c>
      <c r="G89" s="103">
        <f>-E89</f>
        <v>-6</v>
      </c>
      <c r="H89">
        <f t="shared" si="11"/>
        <v>0</v>
      </c>
      <c r="I89">
        <f t="shared" si="12"/>
        <v>6</v>
      </c>
      <c r="J89" s="143">
        <f>C89</f>
        <v>4</v>
      </c>
      <c r="K89" s="144">
        <f>D89</f>
        <v>5</v>
      </c>
      <c r="L89">
        <f>A89+J89</f>
        <v>4</v>
      </c>
      <c r="M89">
        <f>B89+K89</f>
        <v>4</v>
      </c>
      <c r="N89" s="90">
        <f>F89+J89</f>
        <v>4</v>
      </c>
      <c r="O89" s="19">
        <f>G89+K89</f>
        <v>-1</v>
      </c>
      <c r="P89" s="15">
        <f t="shared" si="13"/>
        <v>4</v>
      </c>
      <c r="Q89" s="91">
        <f t="shared" si="14"/>
        <v>11</v>
      </c>
      <c r="S89" t="s">
        <v>529</v>
      </c>
      <c r="U89" t="str">
        <f t="shared" si="15"/>
        <v>[TestCase(4, 4, 4, -1, 4, 11)] //y-axis - inside</v>
      </c>
      <c r="X89" t="str">
        <f>"[TestCase("&amp;L89&amp;", "&amp;M89&amp;", "&amp;ROUND(N89,6)&amp;", "&amp;ROUND(O89,6)&amp;")] //"&amp;S89</f>
        <v>[TestCase(4, 4, 4, -1)] //y-axis - inside</v>
      </c>
    </row>
    <row r="90" spans="1:24" x14ac:dyDescent="0.3">
      <c r="A90" s="146">
        <v>1</v>
      </c>
      <c r="B90" s="146">
        <v>1</v>
      </c>
      <c r="C90" s="147">
        <v>4</v>
      </c>
      <c r="D90" s="148">
        <v>5</v>
      </c>
      <c r="E90" s="149">
        <v>6</v>
      </c>
      <c r="F90" s="150">
        <f>E90*SIN(PI()/4)</f>
        <v>4.2426406871192848</v>
      </c>
      <c r="G90" s="150">
        <f>E90*COS(PI()/4)</f>
        <v>4.2426406871192857</v>
      </c>
      <c r="H90">
        <f t="shared" si="11"/>
        <v>-4.2426406871192848</v>
      </c>
      <c r="I90">
        <f t="shared" si="12"/>
        <v>-4.2426406871192857</v>
      </c>
      <c r="J90" s="151">
        <f>C90</f>
        <v>4</v>
      </c>
      <c r="K90" s="152">
        <f>D90</f>
        <v>5</v>
      </c>
      <c r="L90" s="150">
        <f>A90+J90</f>
        <v>5</v>
      </c>
      <c r="M90" s="150">
        <f>B90+K90</f>
        <v>6</v>
      </c>
      <c r="N90" s="159">
        <f>F90+J90</f>
        <v>8.2426406871192839</v>
      </c>
      <c r="O90" s="154">
        <f>G90+K90</f>
        <v>9.2426406871192857</v>
      </c>
      <c r="P90" s="153">
        <f t="shared" si="13"/>
        <v>-0.24264068711928477</v>
      </c>
      <c r="Q90" s="91">
        <f t="shared" si="14"/>
        <v>0.75735931288071434</v>
      </c>
      <c r="S90" s="150" t="s">
        <v>538</v>
      </c>
      <c r="T90" s="150"/>
      <c r="U90" t="str">
        <f t="shared" si="15"/>
        <v>[TestCase(5, 6, 8.242641, 9.242641, -0.242641, 0.757359)] //Diagonal inside Quad 1</v>
      </c>
      <c r="X90" t="str">
        <f>"[TestCase("&amp;L90&amp;", "&amp;M90&amp;", "&amp;ROUND(N90,6)&amp;", "&amp;ROUND(O90,6)&amp;")] //"&amp;S90</f>
        <v>[TestCase(5, 6, 8.242641, 9.242641)] //Diagonal inside Quad 1</v>
      </c>
    </row>
    <row r="91" spans="1:24" x14ac:dyDescent="0.3">
      <c r="A91" s="146">
        <v>-1</v>
      </c>
      <c r="B91" s="146">
        <v>1</v>
      </c>
      <c r="C91" s="147">
        <v>4</v>
      </c>
      <c r="D91" s="148">
        <v>5</v>
      </c>
      <c r="E91" s="149">
        <v>6</v>
      </c>
      <c r="F91" s="150">
        <f>-E91*SIN(PI()/4)</f>
        <v>-4.2426406871192848</v>
      </c>
      <c r="G91" s="150">
        <f t="shared" ref="G91:G93" si="22">E91*COS(PI()/4)</f>
        <v>4.2426406871192857</v>
      </c>
      <c r="H91">
        <f t="shared" si="11"/>
        <v>4.2426406871192848</v>
      </c>
      <c r="I91">
        <f t="shared" si="12"/>
        <v>-4.2426406871192857</v>
      </c>
      <c r="J91" s="151">
        <f>C91</f>
        <v>4</v>
      </c>
      <c r="K91" s="152">
        <f>D91</f>
        <v>5</v>
      </c>
      <c r="L91" s="150">
        <f>A91+J91</f>
        <v>3</v>
      </c>
      <c r="M91" s="150">
        <f>B91+K91</f>
        <v>6</v>
      </c>
      <c r="N91" s="159">
        <f>F91+J91</f>
        <v>-0.24264068711928477</v>
      </c>
      <c r="O91" s="154">
        <f>G91+K91</f>
        <v>9.2426406871192857</v>
      </c>
      <c r="P91" s="153">
        <f t="shared" si="13"/>
        <v>8.2426406871192839</v>
      </c>
      <c r="Q91" s="91">
        <f t="shared" si="14"/>
        <v>0.75735931288071434</v>
      </c>
      <c r="S91" s="150" t="s">
        <v>539</v>
      </c>
      <c r="T91" s="150"/>
      <c r="U91" t="str">
        <f t="shared" si="15"/>
        <v>[TestCase(3, 6, -0.242641, 9.242641, 8.242641, 0.757359)] //Diagonal inside Quad 2</v>
      </c>
      <c r="X91" t="str">
        <f>"[TestCase("&amp;L91&amp;", "&amp;M91&amp;", "&amp;ROUND(N91,6)&amp;", "&amp;ROUND(O91,6)&amp;")] //"&amp;S91</f>
        <v>[TestCase(3, 6, -0.242641, 9.242641)] //Diagonal inside Quad 2</v>
      </c>
    </row>
    <row r="92" spans="1:24" x14ac:dyDescent="0.3">
      <c r="A92" s="146">
        <v>-1</v>
      </c>
      <c r="B92" s="146">
        <v>-1</v>
      </c>
      <c r="C92" s="147">
        <v>4</v>
      </c>
      <c r="D92" s="148">
        <v>5</v>
      </c>
      <c r="E92" s="149">
        <v>6</v>
      </c>
      <c r="F92" s="150">
        <f>-E92*SIN(PI()/4)</f>
        <v>-4.2426406871192848</v>
      </c>
      <c r="G92" s="150">
        <f>-E92*COS(PI()/4)</f>
        <v>-4.2426406871192857</v>
      </c>
      <c r="H92">
        <f t="shared" si="11"/>
        <v>4.2426406871192848</v>
      </c>
      <c r="I92">
        <f t="shared" si="12"/>
        <v>4.2426406871192857</v>
      </c>
      <c r="J92" s="151">
        <f>C92</f>
        <v>4</v>
      </c>
      <c r="K92" s="152">
        <f>D92</f>
        <v>5</v>
      </c>
      <c r="L92" s="150">
        <f>A92+J92</f>
        <v>3</v>
      </c>
      <c r="M92" s="150">
        <f>B92+K92</f>
        <v>4</v>
      </c>
      <c r="N92" s="159">
        <f>F92+J92</f>
        <v>-0.24264068711928477</v>
      </c>
      <c r="O92" s="154">
        <f>G92+K92</f>
        <v>0.75735931288071434</v>
      </c>
      <c r="P92" s="153">
        <f t="shared" si="13"/>
        <v>8.2426406871192839</v>
      </c>
      <c r="Q92" s="91">
        <f t="shared" si="14"/>
        <v>9.2426406871192857</v>
      </c>
      <c r="S92" s="150" t="s">
        <v>540</v>
      </c>
      <c r="T92" s="150"/>
      <c r="U92" t="str">
        <f t="shared" si="15"/>
        <v>[TestCase(3, 4, -0.242641, 0.757359, 8.242641, 9.242641)] //Diagonal inside Quad 3</v>
      </c>
      <c r="X92" t="str">
        <f>"[TestCase("&amp;L92&amp;", "&amp;M92&amp;", "&amp;ROUND(N92,6)&amp;", "&amp;ROUND(O92,6)&amp;")] //"&amp;S92</f>
        <v>[TestCase(3, 4, -0.242641, 0.757359)] //Diagonal inside Quad 3</v>
      </c>
    </row>
    <row r="93" spans="1:24" x14ac:dyDescent="0.3">
      <c r="A93" s="146">
        <v>1</v>
      </c>
      <c r="B93" s="146">
        <v>-1</v>
      </c>
      <c r="C93" s="147">
        <v>4</v>
      </c>
      <c r="D93" s="148">
        <v>5</v>
      </c>
      <c r="E93" s="149">
        <v>6</v>
      </c>
      <c r="F93" s="150">
        <f t="shared" ref="F93" si="23">E93*SIN(PI()/4)</f>
        <v>4.2426406871192848</v>
      </c>
      <c r="G93" s="150">
        <f>-E93*COS(PI()/4)</f>
        <v>-4.2426406871192857</v>
      </c>
      <c r="H93">
        <f t="shared" si="11"/>
        <v>-4.2426406871192848</v>
      </c>
      <c r="I93">
        <f t="shared" si="12"/>
        <v>4.2426406871192857</v>
      </c>
      <c r="J93" s="151">
        <f>C93</f>
        <v>4</v>
      </c>
      <c r="K93" s="152">
        <f>D93</f>
        <v>5</v>
      </c>
      <c r="L93" s="150">
        <f>A93+J93</f>
        <v>5</v>
      </c>
      <c r="M93" s="150">
        <f>B93+K93</f>
        <v>4</v>
      </c>
      <c r="N93" s="159">
        <f>F93+J93</f>
        <v>8.2426406871192839</v>
      </c>
      <c r="O93" s="154">
        <f>G93+K93</f>
        <v>0.75735931288071434</v>
      </c>
      <c r="P93" s="153">
        <f t="shared" si="13"/>
        <v>-0.24264068711928477</v>
      </c>
      <c r="Q93" s="91">
        <f t="shared" si="14"/>
        <v>9.2426406871192857</v>
      </c>
      <c r="S93" s="150" t="s">
        <v>541</v>
      </c>
      <c r="T93" s="150"/>
      <c r="U93" t="str">
        <f t="shared" si="15"/>
        <v>[TestCase(5, 4, 8.242641, 0.757359, -0.242641, 9.242641)] //Diagonal inside Quad 4</v>
      </c>
      <c r="X93" t="str">
        <f>"[TestCase("&amp;L93&amp;", "&amp;M93&amp;", "&amp;ROUND(N93,6)&amp;", "&amp;ROUND(O93,6)&amp;")] //"&amp;S93</f>
        <v>[TestCase(5, 4, 8.242641, 0.757359)] //Diagonal inside Quad 4</v>
      </c>
    </row>
    <row r="94" spans="1:24" x14ac:dyDescent="0.3">
      <c r="A94" s="10">
        <v>0</v>
      </c>
      <c r="B94" s="10">
        <v>0</v>
      </c>
      <c r="C94" s="38">
        <v>4</v>
      </c>
      <c r="D94" s="40">
        <v>5</v>
      </c>
      <c r="E94" s="39">
        <v>6</v>
      </c>
      <c r="F94" s="38" t="s">
        <v>530</v>
      </c>
      <c r="G94" s="39" t="s">
        <v>530</v>
      </c>
      <c r="H94" t="e">
        <f t="shared" si="11"/>
        <v>#VALUE!</v>
      </c>
      <c r="I94" t="e">
        <f t="shared" si="12"/>
        <v>#VALUE!</v>
      </c>
      <c r="J94" s="143">
        <f>C94</f>
        <v>4</v>
      </c>
      <c r="K94" s="144">
        <f>D94</f>
        <v>5</v>
      </c>
      <c r="N94" s="161" t="s">
        <v>530</v>
      </c>
      <c r="O94" s="39" t="s">
        <v>530</v>
      </c>
      <c r="P94" s="15" t="e">
        <f t="shared" si="13"/>
        <v>#VALUE!</v>
      </c>
      <c r="Q94" s="91" t="e">
        <f t="shared" si="14"/>
        <v>#VALUE!</v>
      </c>
      <c r="S94" t="s">
        <v>490</v>
      </c>
    </row>
  </sheetData>
  <mergeCells count="12">
    <mergeCell ref="A59:B59"/>
    <mergeCell ref="L59:M59"/>
    <mergeCell ref="N59:Q59"/>
    <mergeCell ref="F59:I59"/>
    <mergeCell ref="H41:K41"/>
    <mergeCell ref="H23:K23"/>
    <mergeCell ref="C59:D59"/>
    <mergeCell ref="J59:K59"/>
    <mergeCell ref="B41:C41"/>
    <mergeCell ref="F23:G23"/>
    <mergeCell ref="F41:G41"/>
    <mergeCell ref="B23:C23"/>
  </mergeCells>
  <pageMargins left="0.7" right="0.7" top="0.75" bottom="0.75" header="0.3" footer="0.3"/>
  <pageSetup orientation="portrait" horizontalDpi="360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A66F-7552-4291-A5CE-F15FD4B82147}">
  <dimension ref="A1"/>
  <sheetViews>
    <sheetView workbookViewId="0">
      <selection activeCell="W30" sqref="W30"/>
    </sheetView>
  </sheetViews>
  <sheetFormatPr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A5947-41C6-4CBA-A517-AFC705F7CA77}">
  <dimension ref="A1"/>
  <sheetViews>
    <sheetView workbookViewId="0">
      <selection activeCell="W30" sqref="W30"/>
    </sheetView>
  </sheetViews>
  <sheetFormatPr defaultRowHeight="14.4" x14ac:dyDescent="0.3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27F0B-BDF4-468A-8AC0-2DEB76AE8550}">
  <dimension ref="A1"/>
  <sheetViews>
    <sheetView tabSelected="1" workbookViewId="0">
      <selection activeCell="V32" sqref="V32"/>
    </sheetView>
  </sheetViews>
  <sheetFormatPr defaultRowHeight="14.4" x14ac:dyDescent="0.3"/>
  <sheetData>
    <row r="1" spans="1:1" x14ac:dyDescent="0.3">
      <c r="A1" t="s">
        <v>545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489-572D-40E9-87E1-A1D3A9E56F10}">
  <sheetPr codeName="Sheet15"/>
  <dimension ref="A1:L116"/>
  <sheetViews>
    <sheetView zoomScale="85" zoomScaleNormal="85" workbookViewId="0">
      <selection activeCell="I38" sqref="I38"/>
    </sheetView>
  </sheetViews>
  <sheetFormatPr defaultRowHeight="14.4" x14ac:dyDescent="0.3"/>
  <cols>
    <col min="1" max="1" width="15.5546875" bestFit="1" customWidth="1"/>
  </cols>
  <sheetData>
    <row r="1" spans="1:12" x14ac:dyDescent="0.3">
      <c r="B1" t="s">
        <v>244</v>
      </c>
      <c r="C1" s="52">
        <v>10</v>
      </c>
    </row>
    <row r="2" spans="1:12" ht="15.6" x14ac:dyDescent="0.35">
      <c r="A2" t="s">
        <v>281</v>
      </c>
      <c r="B2" s="53" t="s">
        <v>257</v>
      </c>
      <c r="C2" s="52">
        <v>65</v>
      </c>
      <c r="G2" s="53" t="s">
        <v>258</v>
      </c>
      <c r="H2" s="52">
        <v>5</v>
      </c>
      <c r="I2" t="s">
        <v>285</v>
      </c>
    </row>
    <row r="3" spans="1:12" ht="15.6" x14ac:dyDescent="0.35">
      <c r="A3" t="s">
        <v>283</v>
      </c>
      <c r="B3" s="53" t="s">
        <v>259</v>
      </c>
      <c r="C3" s="52">
        <v>5.7</v>
      </c>
      <c r="G3" s="53" t="s">
        <v>260</v>
      </c>
      <c r="H3" s="52">
        <v>0.1</v>
      </c>
      <c r="I3" t="s">
        <v>286</v>
      </c>
    </row>
    <row r="4" spans="1:12" ht="15.6" x14ac:dyDescent="0.35">
      <c r="A4" t="s">
        <v>282</v>
      </c>
      <c r="B4" s="53" t="s">
        <v>261</v>
      </c>
      <c r="C4" s="52">
        <v>45</v>
      </c>
    </row>
    <row r="5" spans="1:12" ht="15.6" x14ac:dyDescent="0.35">
      <c r="A5" t="s">
        <v>284</v>
      </c>
      <c r="B5" s="53" t="s">
        <v>262</v>
      </c>
      <c r="C5" s="52">
        <v>3.9</v>
      </c>
    </row>
    <row r="6" spans="1:12" x14ac:dyDescent="0.3">
      <c r="B6" s="119" t="s">
        <v>263</v>
      </c>
      <c r="C6" s="119"/>
      <c r="D6" s="119"/>
      <c r="E6" s="119"/>
      <c r="F6" s="119"/>
      <c r="G6" s="119"/>
      <c r="H6" s="119"/>
      <c r="I6" s="119"/>
      <c r="J6" s="119"/>
      <c r="K6" s="119"/>
    </row>
    <row r="7" spans="1:12" x14ac:dyDescent="0.3">
      <c r="B7" s="119" t="s">
        <v>264</v>
      </c>
      <c r="C7" s="119"/>
      <c r="D7" s="119"/>
      <c r="E7" s="119"/>
      <c r="F7" s="119"/>
      <c r="G7" s="119" t="s">
        <v>265</v>
      </c>
      <c r="H7" s="119"/>
      <c r="I7" s="119"/>
      <c r="J7" s="119"/>
      <c r="K7" s="119"/>
    </row>
    <row r="8" spans="1:12" x14ac:dyDescent="0.3">
      <c r="B8" t="s">
        <v>266</v>
      </c>
      <c r="C8" t="s">
        <v>9</v>
      </c>
      <c r="D8" t="s">
        <v>10</v>
      </c>
      <c r="E8" t="s">
        <v>267</v>
      </c>
      <c r="F8" s="53" t="s">
        <v>268</v>
      </c>
      <c r="G8" t="s">
        <v>266</v>
      </c>
      <c r="H8" t="s">
        <v>9</v>
      </c>
      <c r="I8" t="s">
        <v>10</v>
      </c>
      <c r="J8" t="s">
        <v>267</v>
      </c>
      <c r="K8" s="53" t="s">
        <v>268</v>
      </c>
    </row>
    <row r="9" spans="1:12" x14ac:dyDescent="0.3">
      <c r="A9" t="s">
        <v>279</v>
      </c>
      <c r="B9" t="s">
        <v>269</v>
      </c>
      <c r="C9">
        <f>C10-$C$3*COS(RADIANS(C2))</f>
        <v>-2.4089240919219868</v>
      </c>
      <c r="D9">
        <f>D10-$C$3*SIN(RADIANS(C2))</f>
        <v>-5.165954386108905</v>
      </c>
      <c r="E9" s="54">
        <f>E10</f>
        <v>2.1445069205095586</v>
      </c>
      <c r="F9" s="54">
        <f>F10</f>
        <v>65</v>
      </c>
      <c r="G9" t="s">
        <v>270</v>
      </c>
      <c r="H9">
        <f>H10-$C$5*COS(RADIANS(C4))</f>
        <v>7.2422835533724648</v>
      </c>
      <c r="I9">
        <f>I10-$C$5*SIN(RADIANS(C4))</f>
        <v>-2.7577164466275352</v>
      </c>
      <c r="J9" s="54">
        <f>J10</f>
        <v>1</v>
      </c>
      <c r="K9" s="54">
        <f>K10</f>
        <v>45</v>
      </c>
    </row>
    <row r="10" spans="1:12" x14ac:dyDescent="0.3">
      <c r="A10" t="s">
        <v>278</v>
      </c>
      <c r="B10">
        <v>1</v>
      </c>
      <c r="C10" s="10">
        <v>0</v>
      </c>
      <c r="D10" s="10">
        <v>0</v>
      </c>
      <c r="E10">
        <f>(D11-D9)/(C11-C9)</f>
        <v>2.1445069205095586</v>
      </c>
      <c r="F10" s="54">
        <f>C2</f>
        <v>65</v>
      </c>
      <c r="G10">
        <v>2</v>
      </c>
      <c r="H10">
        <f>C1</f>
        <v>10</v>
      </c>
      <c r="I10" s="10">
        <v>0</v>
      </c>
      <c r="J10">
        <f>(I11-I9)/(H11-H9)</f>
        <v>1</v>
      </c>
      <c r="K10" s="54">
        <f>C4</f>
        <v>45</v>
      </c>
    </row>
    <row r="11" spans="1:12" x14ac:dyDescent="0.3">
      <c r="A11" t="s">
        <v>280</v>
      </c>
      <c r="B11" t="s">
        <v>271</v>
      </c>
      <c r="C11">
        <f>C10+$C$3*COS(RADIANS(C2))</f>
        <v>2.4089240919219868</v>
      </c>
      <c r="D11">
        <f>D10+$C$3*SIN(RADIANS(C2))</f>
        <v>5.165954386108905</v>
      </c>
      <c r="E11" s="54">
        <f>E10</f>
        <v>2.1445069205095586</v>
      </c>
      <c r="F11" s="54">
        <f>F10</f>
        <v>65</v>
      </c>
      <c r="G11" t="s">
        <v>272</v>
      </c>
      <c r="H11">
        <f>H10+$C$5*COS(RADIANS(C4))</f>
        <v>12.757716446627535</v>
      </c>
      <c r="I11">
        <f>I10+$C$5*SIN(RADIANS(C4))</f>
        <v>2.7577164466275352</v>
      </c>
      <c r="J11" s="54">
        <f>J10</f>
        <v>1</v>
      </c>
      <c r="K11" s="54">
        <f>K10</f>
        <v>45</v>
      </c>
    </row>
    <row r="14" spans="1:12" x14ac:dyDescent="0.3">
      <c r="A14" t="s">
        <v>273</v>
      </c>
      <c r="B14" s="10">
        <v>0.01</v>
      </c>
      <c r="F14" s="53"/>
      <c r="G14" t="s">
        <v>277</v>
      </c>
    </row>
    <row r="15" spans="1:12" x14ac:dyDescent="0.3">
      <c r="A15" t="s">
        <v>165</v>
      </c>
      <c r="B15" t="s">
        <v>22</v>
      </c>
      <c r="C15" t="s">
        <v>23</v>
      </c>
      <c r="D15" t="s">
        <v>267</v>
      </c>
      <c r="E15" s="53" t="s">
        <v>268</v>
      </c>
      <c r="G15" t="s">
        <v>274</v>
      </c>
      <c r="H15" t="s">
        <v>22</v>
      </c>
      <c r="I15" s="53" t="s">
        <v>23</v>
      </c>
    </row>
    <row r="16" spans="1:12" x14ac:dyDescent="0.3">
      <c r="A16">
        <v>0</v>
      </c>
      <c r="B16">
        <f>H$16*(1-$A16)^3+H$17*3*$A16*(1-$A16)^2+H$18*3*$A16^2*(1-$A16)+H$19*$A16^3</f>
        <v>0</v>
      </c>
      <c r="C16">
        <f>I$16*(1-$A16)^3+I$17*3*$A16*(1-$A16)^2+I$18*3*$A16^2*(1-$A16)+I$19*$A16^3</f>
        <v>0</v>
      </c>
      <c r="D16">
        <f>E$10-(2*(2*E$10+I$10)/C$1)*B16+3*((I$10+E$10)/C$1^2)*B16^2</f>
        <v>2.1445069205095586</v>
      </c>
      <c r="E16">
        <f>DEGREES(ATAN(D16))</f>
        <v>65</v>
      </c>
      <c r="G16">
        <v>0</v>
      </c>
      <c r="H16">
        <v>0</v>
      </c>
      <c r="I16">
        <v>0</v>
      </c>
      <c r="J16" t="s">
        <v>275</v>
      </c>
      <c r="L16" s="2" t="str">
        <f>"[TestCase("&amp;D16&amp;", "&amp;E16&amp;", "&amp;F16&amp;", "&amp;G16&amp;", "&amp;H16&amp;", "&amp;ROUND(I16,6)&amp;")]  // " &amp;J16</f>
        <v>[TestCase(2.14450692050956, 65, , 0, 0, 0)]  // Intercept</v>
      </c>
    </row>
    <row r="17" spans="1:10" x14ac:dyDescent="0.3">
      <c r="A17">
        <f>A16+B$14</f>
        <v>0.01</v>
      </c>
      <c r="B17">
        <f t="shared" ref="B17:C47" si="0">H$16*(1-$A17)^3+H$17*3*$A17*(1-$A17)^2+H$18*3*$A17^2*(1-$A17)+H$19*$A17^3</f>
        <v>7.2990553290133778E-2</v>
      </c>
      <c r="C17">
        <f t="shared" si="0"/>
        <v>0.15107551503011177</v>
      </c>
      <c r="D17">
        <f t="shared" ref="D17:D80" si="1">E$10-(2*(2*E$10+I$10)/C$1)*B17+3*((I$10+E$10)/C$1^2)*B17^2</f>
        <v>2.0822381754392945</v>
      </c>
      <c r="E17">
        <f t="shared" ref="E17:E80" si="2">DEGREES(ATAN(D17))</f>
        <v>64.347239217090177</v>
      </c>
      <c r="G17">
        <v>1</v>
      </c>
      <c r="H17">
        <f>C10+$C$3*COS(RADIANS(C2))</f>
        <v>2.4089240919219868</v>
      </c>
      <c r="I17">
        <f>D10+$C$3*SIN(RADIANS(C2))</f>
        <v>5.165954386108905</v>
      </c>
      <c r="J17" t="s">
        <v>276</v>
      </c>
    </row>
    <row r="18" spans="1:10" x14ac:dyDescent="0.3">
      <c r="A18">
        <f t="shared" ref="A18:A81" si="3">A17+B$14</f>
        <v>0.02</v>
      </c>
      <c r="B18">
        <f t="shared" si="0"/>
        <v>0.14740876733167854</v>
      </c>
      <c r="C18">
        <f t="shared" si="0"/>
        <v>0.29443988100390556</v>
      </c>
      <c r="D18">
        <f t="shared" si="1"/>
        <v>2.0194572337366652</v>
      </c>
      <c r="E18">
        <f t="shared" si="2"/>
        <v>63.65618929854012</v>
      </c>
      <c r="G18">
        <v>2</v>
      </c>
      <c r="H18">
        <f>H10-$C$5*COS(RADIANS(C4))</f>
        <v>7.2422835533724648</v>
      </c>
      <c r="I18">
        <f>I10-$C$5*SIN(RADIANS(C4))</f>
        <v>-2.7577164466275352</v>
      </c>
      <c r="J18" t="s">
        <v>276</v>
      </c>
    </row>
    <row r="19" spans="1:10" x14ac:dyDescent="0.3">
      <c r="A19">
        <f t="shared" si="3"/>
        <v>0.03</v>
      </c>
      <c r="B19">
        <f t="shared" si="0"/>
        <v>0.22322764165432821</v>
      </c>
      <c r="C19">
        <f t="shared" si="0"/>
        <v>0.43023572399637067</v>
      </c>
      <c r="D19">
        <f t="shared" si="1"/>
        <v>1.9562274922686618</v>
      </c>
      <c r="E19">
        <f t="shared" si="2"/>
        <v>62.924427385644712</v>
      </c>
      <c r="G19">
        <v>3</v>
      </c>
      <c r="H19">
        <v>10</v>
      </c>
      <c r="I19">
        <v>0</v>
      </c>
      <c r="J19" t="s">
        <v>275</v>
      </c>
    </row>
    <row r="20" spans="1:10" x14ac:dyDescent="0.3">
      <c r="A20">
        <f t="shared" si="3"/>
        <v>0.04</v>
      </c>
      <c r="B20">
        <f t="shared" si="0"/>
        <v>0.30042017578777658</v>
      </c>
      <c r="C20">
        <f t="shared" si="0"/>
        <v>0.5586056700824964</v>
      </c>
      <c r="D20">
        <f t="shared" si="1"/>
        <v>1.8926120613960578</v>
      </c>
      <c r="E20">
        <f t="shared" si="2"/>
        <v>62.149357407609017</v>
      </c>
    </row>
    <row r="21" spans="1:10" x14ac:dyDescent="0.3">
      <c r="A21">
        <f t="shared" si="3"/>
        <v>0.05</v>
      </c>
      <c r="B21">
        <f t="shared" si="0"/>
        <v>0.37895936926171775</v>
      </c>
      <c r="C21">
        <f t="shared" si="0"/>
        <v>0.67969234533727185</v>
      </c>
      <c r="D21">
        <f t="shared" si="1"/>
        <v>1.8286737167812248</v>
      </c>
      <c r="E21">
        <f t="shared" si="2"/>
        <v>61.328202698159721</v>
      </c>
      <c r="G21" s="47">
        <v>3</v>
      </c>
      <c r="H21" s="33"/>
    </row>
    <row r="22" spans="1:10" x14ac:dyDescent="0.3">
      <c r="A22">
        <f t="shared" si="3"/>
        <v>6.0000000000000005E-2</v>
      </c>
      <c r="B22">
        <f t="shared" si="0"/>
        <v>0.45881822160584546</v>
      </c>
      <c r="C22">
        <f t="shared" si="0"/>
        <v>0.79363837583568653</v>
      </c>
      <c r="D22">
        <f t="shared" si="1"/>
        <v>1.7644748521339899</v>
      </c>
      <c r="E22">
        <f t="shared" si="2"/>
        <v>60.458000004149639</v>
      </c>
      <c r="G22" s="33">
        <v>0</v>
      </c>
      <c r="H22" s="33">
        <f>MOD((G22-1+G$21),G$21)</f>
        <v>2</v>
      </c>
    </row>
    <row r="23" spans="1:10" x14ac:dyDescent="0.3">
      <c r="A23">
        <f t="shared" si="3"/>
        <v>7.0000000000000007E-2</v>
      </c>
      <c r="B23">
        <f t="shared" si="0"/>
        <v>0.53996973234985357</v>
      </c>
      <c r="C23">
        <f t="shared" si="0"/>
        <v>0.90058638765272936</v>
      </c>
      <c r="D23">
        <f t="shared" si="1"/>
        <v>1.700077432895533</v>
      </c>
      <c r="E23">
        <f t="shared" si="2"/>
        <v>59.535595550458403</v>
      </c>
      <c r="G23" s="33">
        <v>1</v>
      </c>
      <c r="H23" s="33">
        <f>MOD((G23-1+G$21),G$21)</f>
        <v>0</v>
      </c>
    </row>
    <row r="24" spans="1:10" x14ac:dyDescent="0.3">
      <c r="A24">
        <f t="shared" si="3"/>
        <v>0.08</v>
      </c>
      <c r="B24">
        <f t="shared" si="0"/>
        <v>0.62238690102343586</v>
      </c>
      <c r="C24">
        <f t="shared" si="0"/>
        <v>1.0006790068633897</v>
      </c>
      <c r="D24">
        <f t="shared" si="1"/>
        <v>1.6355429508603212</v>
      </c>
      <c r="E24">
        <f t="shared" si="2"/>
        <v>58.557644007677077</v>
      </c>
      <c r="G24" s="33">
        <v>2</v>
      </c>
      <c r="H24" s="33">
        <f>MOD((G24-1+G$21),G$21)</f>
        <v>1</v>
      </c>
    </row>
    <row r="25" spans="1:10" x14ac:dyDescent="0.3">
      <c r="A25">
        <f t="shared" si="3"/>
        <v>0.09</v>
      </c>
      <c r="B25">
        <f t="shared" si="0"/>
        <v>0.70604272715628658</v>
      </c>
      <c r="C25">
        <f t="shared" si="0"/>
        <v>1.094058859542657</v>
      </c>
      <c r="D25">
        <f t="shared" si="1"/>
        <v>1.5709323797360875</v>
      </c>
      <c r="E25">
        <f t="shared" si="2"/>
        <v>57.520611427124976</v>
      </c>
    </row>
    <row r="26" spans="1:10" x14ac:dyDescent="0.3">
      <c r="A26">
        <f t="shared" si="3"/>
        <v>9.9999999999999992E-2</v>
      </c>
      <c r="B26">
        <f t="shared" si="0"/>
        <v>0.79091021027809916</v>
      </c>
      <c r="C26">
        <f t="shared" si="0"/>
        <v>1.1808685717655205</v>
      </c>
      <c r="D26">
        <f t="shared" si="1"/>
        <v>1.5063061316418471</v>
      </c>
      <c r="E26">
        <f t="shared" si="2"/>
        <v>56.420783463533425</v>
      </c>
    </row>
    <row r="27" spans="1:10" x14ac:dyDescent="0.3">
      <c r="A27">
        <f t="shared" si="3"/>
        <v>0.10999999999999999</v>
      </c>
      <c r="B27">
        <f t="shared" si="0"/>
        <v>0.87696234991856803</v>
      </c>
      <c r="C27">
        <f t="shared" si="0"/>
        <v>1.261250769606969</v>
      </c>
      <c r="D27">
        <f t="shared" si="1"/>
        <v>1.4417240145439527</v>
      </c>
      <c r="E27">
        <f t="shared" si="2"/>
        <v>55.254280498076</v>
      </c>
    </row>
    <row r="28" spans="1:10" x14ac:dyDescent="0.3">
      <c r="A28">
        <f t="shared" si="3"/>
        <v>0.11999999999999998</v>
      </c>
      <c r="B28">
        <f>H$16*(1-$A28)^3+H$17*3*$A28*(1-$A28)^2+H$18*3*$A28^2*(1-$A28)+H$19*$A28^3</f>
        <v>0.9641721456073864</v>
      </c>
      <c r="C28">
        <f t="shared" si="0"/>
        <v>1.3353480791419925</v>
      </c>
      <c r="D28">
        <f t="shared" si="1"/>
        <v>1.3772451906301932</v>
      </c>
      <c r="E28">
        <f t="shared" si="2"/>
        <v>54.017081597079546</v>
      </c>
    </row>
    <row r="29" spans="1:10" x14ac:dyDescent="0.3">
      <c r="A29">
        <f t="shared" si="3"/>
        <v>0.12999999999999998</v>
      </c>
      <c r="B29">
        <f t="shared" si="0"/>
        <v>1.052512596874249</v>
      </c>
      <c r="C29">
        <f t="shared" si="0"/>
        <v>1.4033031264455798</v>
      </c>
      <c r="D29">
        <f t="shared" si="1"/>
        <v>1.3129281356219282</v>
      </c>
      <c r="E29">
        <f t="shared" si="2"/>
        <v>52.705059580509776</v>
      </c>
    </row>
    <row r="30" spans="1:10" x14ac:dyDescent="0.3">
      <c r="A30">
        <f t="shared" si="3"/>
        <v>0.13999999999999999</v>
      </c>
      <c r="B30">
        <f t="shared" si="0"/>
        <v>1.1419567032488489</v>
      </c>
      <c r="C30">
        <f t="shared" si="0"/>
        <v>1.4652585375927201</v>
      </c>
      <c r="D30">
        <f t="shared" si="1"/>
        <v>1.2488305990242667</v>
      </c>
      <c r="E30">
        <f t="shared" si="2"/>
        <v>51.314029803251145</v>
      </c>
    </row>
    <row r="31" spans="1:10" x14ac:dyDescent="0.3">
      <c r="A31">
        <f t="shared" si="3"/>
        <v>0.15</v>
      </c>
      <c r="B31">
        <f t="shared" si="0"/>
        <v>1.2324774642608809</v>
      </c>
      <c r="C31">
        <f t="shared" si="0"/>
        <v>1.5213569386584027</v>
      </c>
      <c r="D31">
        <f t="shared" si="1"/>
        <v>1.1850095653142818</v>
      </c>
      <c r="E31">
        <f t="shared" si="2"/>
        <v>49.839815528986797</v>
      </c>
    </row>
    <row r="32" spans="1:10" x14ac:dyDescent="0.3">
      <c r="A32">
        <f t="shared" si="3"/>
        <v>0.16</v>
      </c>
      <c r="B32">
        <f t="shared" si="0"/>
        <v>1.3240478794400381</v>
      </c>
      <c r="C32">
        <f t="shared" si="0"/>
        <v>1.5717409557176172</v>
      </c>
      <c r="D32">
        <f t="shared" si="1"/>
        <v>1.1215212160672694</v>
      </c>
      <c r="E32">
        <f t="shared" si="2"/>
        <v>48.278332937313799</v>
      </c>
    </row>
    <row r="33" spans="1:12" x14ac:dyDescent="0.3">
      <c r="A33">
        <f t="shared" si="3"/>
        <v>0.17</v>
      </c>
      <c r="B33">
        <f t="shared" si="0"/>
        <v>1.4166409483160149</v>
      </c>
      <c r="C33">
        <f t="shared" si="0"/>
        <v>1.6165532148453525</v>
      </c>
      <c r="D33">
        <f t="shared" si="1"/>
        <v>1.0584208930210433</v>
      </c>
      <c r="E33">
        <f t="shared" si="2"/>
        <v>46.625698759507422</v>
      </c>
    </row>
    <row r="34" spans="1:12" x14ac:dyDescent="0.3">
      <c r="A34">
        <f t="shared" si="3"/>
        <v>0.18000000000000002</v>
      </c>
      <c r="B34">
        <f t="shared" si="0"/>
        <v>1.5102296704185043</v>
      </c>
      <c r="C34">
        <f t="shared" si="0"/>
        <v>1.6559363421165978</v>
      </c>
      <c r="D34">
        <f t="shared" si="1"/>
        <v>0.9957630620782727</v>
      </c>
      <c r="E34">
        <f t="shared" si="2"/>
        <v>44.878363168011148</v>
      </c>
    </row>
    <row r="35" spans="1:12" x14ac:dyDescent="0.3">
      <c r="A35">
        <f t="shared" si="3"/>
        <v>0.19000000000000003</v>
      </c>
      <c r="B35">
        <f t="shared" si="0"/>
        <v>1.6047870452772015</v>
      </c>
      <c r="C35">
        <f t="shared" si="0"/>
        <v>1.6900329636063427</v>
      </c>
      <c r="D35">
        <f t="shared" si="1"/>
        <v>0.93360127824685746</v>
      </c>
      <c r="E35">
        <f t="shared" si="2"/>
        <v>43.033269703419251</v>
      </c>
    </row>
    <row r="36" spans="1:12" x14ac:dyDescent="0.3">
      <c r="A36">
        <f t="shared" si="3"/>
        <v>0.20000000000000004</v>
      </c>
      <c r="B36">
        <f t="shared" si="0"/>
        <v>1.7002860724217999</v>
      </c>
      <c r="C36">
        <f t="shared" si="0"/>
        <v>1.7189857053895763</v>
      </c>
      <c r="D36">
        <f t="shared" si="1"/>
        <v>0.87198815151834719</v>
      </c>
      <c r="E36">
        <f t="shared" si="2"/>
        <v>41.088042548896631</v>
      </c>
      <c r="L36" s="2" t="str">
        <f>"[TestCase("&amp;D36&amp;", "&amp;E36&amp;", "&amp;F36&amp;", "&amp;G36&amp;", "&amp;H36&amp;", "&amp;ROUND(I36,6)&amp;")]  // " &amp;J36</f>
        <v xml:space="preserve">[TestCase(0.871988151518347, 41.0880425488966, , , , 0)]  // </v>
      </c>
    </row>
    <row r="37" spans="1:12" x14ac:dyDescent="0.3">
      <c r="A37">
        <f t="shared" si="3"/>
        <v>0.21000000000000005</v>
      </c>
      <c r="B37">
        <f t="shared" si="0"/>
        <v>1.7966997513819927</v>
      </c>
      <c r="C37">
        <f t="shared" si="0"/>
        <v>1.7429371935412874</v>
      </c>
      <c r="D37">
        <f t="shared" si="1"/>
        <v>0.81097531368439668</v>
      </c>
      <c r="E37">
        <f t="shared" si="2"/>
        <v>39.041199203392559</v>
      </c>
    </row>
    <row r="38" spans="1:12" x14ac:dyDescent="0.3">
      <c r="A38">
        <f t="shared" si="3"/>
        <v>0.22000000000000006</v>
      </c>
      <c r="B38">
        <f t="shared" si="0"/>
        <v>1.8940010816874746</v>
      </c>
      <c r="C38">
        <f t="shared" si="0"/>
        <v>1.7620300541364657</v>
      </c>
      <c r="D38">
        <f t="shared" si="1"/>
        <v>0.75061338609126149</v>
      </c>
      <c r="E38">
        <f t="shared" si="2"/>
        <v>36.892383462209949</v>
      </c>
    </row>
    <row r="39" spans="1:12" x14ac:dyDescent="0.3">
      <c r="A39">
        <f t="shared" si="3"/>
        <v>0.23000000000000007</v>
      </c>
      <c r="B39">
        <f t="shared" si="0"/>
        <v>1.9921630628679392</v>
      </c>
      <c r="C39">
        <f t="shared" si="0"/>
        <v>1.776406913250101</v>
      </c>
      <c r="D39">
        <f t="shared" si="1"/>
        <v>0.69095194833233653</v>
      </c>
      <c r="E39">
        <f t="shared" si="2"/>
        <v>34.642609603721205</v>
      </c>
    </row>
    <row r="40" spans="1:12" x14ac:dyDescent="0.3">
      <c r="A40">
        <f t="shared" si="3"/>
        <v>0.24000000000000007</v>
      </c>
      <c r="B40">
        <f t="shared" si="0"/>
        <v>2.09115869445308</v>
      </c>
      <c r="C40">
        <f t="shared" si="0"/>
        <v>1.7862103969571816</v>
      </c>
      <c r="D40">
        <f t="shared" si="1"/>
        <v>0.6320395078787322</v>
      </c>
      <c r="E40">
        <f t="shared" si="2"/>
        <v>32.294504017262831</v>
      </c>
    </row>
    <row r="41" spans="1:12" x14ac:dyDescent="0.3">
      <c r="A41">
        <f t="shared" si="3"/>
        <v>0.25000000000000006</v>
      </c>
      <c r="B41">
        <f t="shared" si="0"/>
        <v>2.1909609759725917</v>
      </c>
      <c r="C41">
        <f t="shared" si="0"/>
        <v>1.7915831313326973</v>
      </c>
      <c r="D41">
        <f t="shared" si="1"/>
        <v>0.57392347064788973</v>
      </c>
      <c r="E41">
        <f t="shared" si="2"/>
        <v>29.852525675551576</v>
      </c>
    </row>
    <row r="42" spans="1:12" x14ac:dyDescent="0.3">
      <c r="A42">
        <f t="shared" si="3"/>
        <v>0.26000000000000006</v>
      </c>
      <c r="B42">
        <f t="shared" si="0"/>
        <v>2.2915429069561672</v>
      </c>
      <c r="C42">
        <f t="shared" si="0"/>
        <v>1.7926677424516373</v>
      </c>
      <c r="D42">
        <f t="shared" si="1"/>
        <v>0.51665011251024051</v>
      </c>
      <c r="E42">
        <f t="shared" si="2"/>
        <v>27.323142657865084</v>
      </c>
    </row>
    <row r="43" spans="1:12" x14ac:dyDescent="0.3">
      <c r="A43">
        <f t="shared" si="3"/>
        <v>0.27000000000000007</v>
      </c>
      <c r="B43">
        <f t="shared" si="0"/>
        <v>2.3928774869335019</v>
      </c>
      <c r="C43">
        <f t="shared" si="0"/>
        <v>1.7896068563889904</v>
      </c>
      <c r="D43">
        <f t="shared" si="1"/>
        <v>0.46026455173389974</v>
      </c>
      <c r="E43">
        <f t="shared" si="2"/>
        <v>24.714939451343088</v>
      </c>
    </row>
    <row r="44" spans="1:12" x14ac:dyDescent="0.3">
      <c r="A44">
        <f t="shared" si="3"/>
        <v>0.28000000000000008</v>
      </c>
      <c r="B44">
        <f t="shared" si="0"/>
        <v>2.494937715434288</v>
      </c>
      <c r="C44">
        <f t="shared" si="0"/>
        <v>1.7825430992197462</v>
      </c>
      <c r="D44">
        <f t="shared" si="1"/>
        <v>0.40481072236740695</v>
      </c>
      <c r="E44">
        <f t="shared" si="2"/>
        <v>22.038630203496783</v>
      </c>
    </row>
    <row r="45" spans="1:12" x14ac:dyDescent="0.3">
      <c r="A45">
        <f t="shared" si="3"/>
        <v>0.29000000000000009</v>
      </c>
      <c r="B45">
        <f t="shared" si="0"/>
        <v>2.5976965919882211</v>
      </c>
      <c r="C45">
        <f t="shared" si="0"/>
        <v>1.7716190970188945</v>
      </c>
      <c r="D45">
        <f t="shared" si="1"/>
        <v>0.35033134856049764</v>
      </c>
      <c r="E45">
        <f t="shared" si="2"/>
        <v>19.306957499614565</v>
      </c>
    </row>
    <row r="46" spans="1:12" x14ac:dyDescent="0.3">
      <c r="A46">
        <f t="shared" si="3"/>
        <v>0.3000000000000001</v>
      </c>
      <c r="B46">
        <f t="shared" si="0"/>
        <v>2.7011271161249937</v>
      </c>
      <c r="C46">
        <f t="shared" si="0"/>
        <v>1.7569774758614234</v>
      </c>
      <c r="D46">
        <f t="shared" si="1"/>
        <v>0.29686791982292582</v>
      </c>
      <c r="E46">
        <f t="shared" si="2"/>
        <v>16.534465049618593</v>
      </c>
    </row>
    <row r="47" spans="1:12" x14ac:dyDescent="0.3">
      <c r="A47">
        <f t="shared" si="3"/>
        <v>0.31000000000000011</v>
      </c>
      <c r="B47">
        <f t="shared" si="0"/>
        <v>2.8052022873742994</v>
      </c>
      <c r="C47">
        <f t="shared" si="0"/>
        <v>1.7387608618223225</v>
      </c>
      <c r="D47">
        <f t="shared" si="1"/>
        <v>0.24446066722131587</v>
      </c>
      <c r="E47">
        <f t="shared" si="2"/>
        <v>13.737145390275982</v>
      </c>
    </row>
    <row r="48" spans="1:12" x14ac:dyDescent="0.3">
      <c r="A48">
        <f t="shared" si="3"/>
        <v>0.32000000000000012</v>
      </c>
      <c r="B48">
        <f t="shared" ref="B48:C79" si="4">H$16*(1-$A48)^3+H$17*3*$A48*(1-$A48)^2+H$18*3*$A48^2*(1-$A48)+H$19*$A48^3</f>
        <v>2.9098951052658335</v>
      </c>
      <c r="C48">
        <f t="shared" si="4"/>
        <v>1.717111880976582</v>
      </c>
      <c r="D48">
        <f t="shared" si="1"/>
        <v>0.19314854051406238</v>
      </c>
      <c r="E48">
        <f t="shared" si="2"/>
        <v>10.931978699944938</v>
      </c>
    </row>
    <row r="49" spans="1:5" x14ac:dyDescent="0.3">
      <c r="A49">
        <f t="shared" si="3"/>
        <v>0.33000000000000013</v>
      </c>
      <c r="B49">
        <f t="shared" si="4"/>
        <v>3.0151785693292883</v>
      </c>
      <c r="C49">
        <f t="shared" si="4"/>
        <v>1.6921731593991902</v>
      </c>
      <c r="D49">
        <f t="shared" si="1"/>
        <v>0.14296918622426547</v>
      </c>
      <c r="E49">
        <f t="shared" si="2"/>
        <v>8.1363934752651108</v>
      </c>
    </row>
    <row r="50" spans="1:5" x14ac:dyDescent="0.3">
      <c r="A50">
        <f t="shared" si="3"/>
        <v>0.34000000000000014</v>
      </c>
      <c r="B50">
        <f t="shared" si="4"/>
        <v>3.1210256790943602</v>
      </c>
      <c r="C50">
        <f t="shared" si="4"/>
        <v>1.6640873231651363</v>
      </c>
      <c r="D50">
        <f t="shared" si="1"/>
        <v>9.3958926650706598E-2</v>
      </c>
      <c r="E50">
        <f t="shared" si="2"/>
        <v>5.3676911337630946</v>
      </c>
    </row>
    <row r="51" spans="1:5" x14ac:dyDescent="0.3">
      <c r="A51">
        <f t="shared" si="3"/>
        <v>0.35000000000000014</v>
      </c>
      <c r="B51">
        <f t="shared" si="4"/>
        <v>3.2274094340907404</v>
      </c>
      <c r="C51">
        <f t="shared" si="4"/>
        <v>1.6329969983494106</v>
      </c>
      <c r="D51">
        <f t="shared" si="1"/>
        <v>4.6152739816869404E-2</v>
      </c>
      <c r="E51">
        <f t="shared" si="2"/>
        <v>2.6424820403636189</v>
      </c>
    </row>
    <row r="52" spans="1:5" x14ac:dyDescent="0.3">
      <c r="A52">
        <f t="shared" si="3"/>
        <v>0.36000000000000015</v>
      </c>
      <c r="B52">
        <f t="shared" si="4"/>
        <v>3.3343028338481244</v>
      </c>
      <c r="C52">
        <f t="shared" si="4"/>
        <v>1.599044811027001</v>
      </c>
      <c r="D52">
        <f t="shared" si="1"/>
        <v>-4.1575964200946114E-4</v>
      </c>
      <c r="E52">
        <f t="shared" si="2"/>
        <v>-2.3821271406461657E-2</v>
      </c>
    </row>
    <row r="53" spans="1:5" x14ac:dyDescent="0.3">
      <c r="A53">
        <f t="shared" si="3"/>
        <v>0.37000000000000016</v>
      </c>
      <c r="B53">
        <f t="shared" si="4"/>
        <v>3.4416788778962055</v>
      </c>
      <c r="C53">
        <f t="shared" si="4"/>
        <v>1.5623733872728975</v>
      </c>
      <c r="D53">
        <f t="shared" si="1"/>
        <v>-4.5714338653837561E-2</v>
      </c>
      <c r="E53">
        <f t="shared" si="2"/>
        <v>-2.6174163901517398</v>
      </c>
    </row>
    <row r="54" spans="1:5" x14ac:dyDescent="0.3">
      <c r="A54">
        <f t="shared" si="3"/>
        <v>0.38000000000000017</v>
      </c>
      <c r="B54">
        <f t="shared" si="4"/>
        <v>3.5495105657646775</v>
      </c>
      <c r="C54">
        <f t="shared" si="4"/>
        <v>1.5231253531620896</v>
      </c>
      <c r="D54">
        <f t="shared" si="1"/>
        <v>-8.971216294653539E-2</v>
      </c>
      <c r="E54">
        <f t="shared" si="2"/>
        <v>-5.1264048002135549</v>
      </c>
    </row>
    <row r="55" spans="1:5" x14ac:dyDescent="0.3">
      <c r="A55">
        <f t="shared" si="3"/>
        <v>0.39000000000000018</v>
      </c>
      <c r="B55">
        <f t="shared" si="4"/>
        <v>3.6577708969832345</v>
      </c>
      <c r="C55">
        <f t="shared" si="4"/>
        <v>1.4814433347695661</v>
      </c>
      <c r="D55">
        <f t="shared" si="1"/>
        <v>-0.13237981334685478</v>
      </c>
      <c r="E55">
        <f t="shared" si="2"/>
        <v>-7.5409582897680361</v>
      </c>
    </row>
    <row r="56" spans="1:5" x14ac:dyDescent="0.3">
      <c r="A56">
        <f t="shared" si="3"/>
        <v>0.40000000000000019</v>
      </c>
      <c r="B56">
        <f t="shared" si="4"/>
        <v>3.7664328710815695</v>
      </c>
      <c r="C56">
        <f t="shared" si="4"/>
        <v>1.4374699581703165</v>
      </c>
      <c r="D56">
        <f t="shared" si="1"/>
        <v>-0.17368930114116543</v>
      </c>
      <c r="E56">
        <f t="shared" si="2"/>
        <v>-9.8533633337264064</v>
      </c>
    </row>
    <row r="57" spans="1:5" x14ac:dyDescent="0.3">
      <c r="A57">
        <f t="shared" si="3"/>
        <v>0.4100000000000002</v>
      </c>
      <c r="B57">
        <f t="shared" si="4"/>
        <v>3.8754694875893789</v>
      </c>
      <c r="C57">
        <f t="shared" si="4"/>
        <v>1.3913478494393297</v>
      </c>
      <c r="D57">
        <f t="shared" si="1"/>
        <v>-0.21361408249819713</v>
      </c>
      <c r="E57">
        <f t="shared" si="2"/>
        <v>-12.057959790887169</v>
      </c>
    </row>
    <row r="58" spans="1:5" x14ac:dyDescent="0.3">
      <c r="A58">
        <f t="shared" si="3"/>
        <v>0.42000000000000021</v>
      </c>
      <c r="B58">
        <f t="shared" si="4"/>
        <v>3.9848537460363542</v>
      </c>
      <c r="C58">
        <f t="shared" si="4"/>
        <v>1.343219634651595</v>
      </c>
      <c r="D58">
        <f t="shared" si="1"/>
        <v>-0.25212907195374235</v>
      </c>
      <c r="E58">
        <f t="shared" si="2"/>
        <v>-14.150996968636994</v>
      </c>
    </row>
    <row r="59" spans="1:5" x14ac:dyDescent="0.3">
      <c r="A59">
        <f t="shared" si="3"/>
        <v>0.43000000000000022</v>
      </c>
      <c r="B59">
        <f t="shared" si="4"/>
        <v>4.0945586459521897</v>
      </c>
      <c r="C59">
        <f t="shared" si="4"/>
        <v>1.2932279398821023</v>
      </c>
      <c r="D59">
        <f t="shared" si="1"/>
        <v>-0.28921065495731946</v>
      </c>
      <c r="E59">
        <f t="shared" si="2"/>
        <v>-16.130432530087418</v>
      </c>
    </row>
    <row r="60" spans="1:5" x14ac:dyDescent="0.3">
      <c r="A60">
        <f t="shared" si="3"/>
        <v>0.44000000000000022</v>
      </c>
      <c r="B60">
        <f t="shared" si="4"/>
        <v>4.2045571868665794</v>
      </c>
      <c r="C60">
        <f t="shared" si="4"/>
        <v>1.2415153912058403</v>
      </c>
      <c r="D60">
        <f t="shared" si="1"/>
        <v>-0.32483669948079741</v>
      </c>
      <c r="E60">
        <f t="shared" si="2"/>
        <v>-17.995698628296772</v>
      </c>
    </row>
    <row r="61" spans="1:5" x14ac:dyDescent="0.3">
      <c r="A61">
        <f t="shared" si="3"/>
        <v>0.45000000000000023</v>
      </c>
      <c r="B61">
        <f t="shared" si="4"/>
        <v>4.3148223683092191</v>
      </c>
      <c r="C61">
        <f t="shared" si="4"/>
        <v>1.1882246146977984</v>
      </c>
      <c r="D61">
        <f t="shared" si="1"/>
        <v>-0.35898656668897733</v>
      </c>
      <c r="E61">
        <f t="shared" si="2"/>
        <v>-19.747456209455688</v>
      </c>
    </row>
    <row r="62" spans="1:5" x14ac:dyDescent="0.3">
      <c r="A62">
        <f t="shared" si="3"/>
        <v>0.46000000000000024</v>
      </c>
      <c r="B62">
        <f t="shared" si="4"/>
        <v>4.4253271898098001</v>
      </c>
      <c r="C62">
        <f t="shared" si="4"/>
        <v>1.1334982364329651</v>
      </c>
      <c r="D62">
        <f t="shared" si="1"/>
        <v>-0.39164112067213597</v>
      </c>
      <c r="E62">
        <f t="shared" si="2"/>
        <v>-21.387353808535007</v>
      </c>
    </row>
    <row r="63" spans="1:5" x14ac:dyDescent="0.3">
      <c r="A63">
        <f t="shared" si="3"/>
        <v>0.47000000000000025</v>
      </c>
      <c r="B63">
        <f t="shared" si="4"/>
        <v>4.5360446508980168</v>
      </c>
      <c r="C63">
        <f t="shared" si="4"/>
        <v>1.0774788824863315</v>
      </c>
      <c r="D63">
        <f t="shared" si="1"/>
        <v>-0.42278273724052906</v>
      </c>
      <c r="E63">
        <f t="shared" si="2"/>
        <v>-22.917802328462411</v>
      </c>
    </row>
    <row r="64" spans="1:5" x14ac:dyDescent="0.3">
      <c r="A64">
        <f t="shared" si="3"/>
        <v>0.48000000000000026</v>
      </c>
      <c r="B64">
        <f t="shared" si="4"/>
        <v>4.6469477511035633</v>
      </c>
      <c r="C64">
        <f t="shared" si="4"/>
        <v>1.0203091789328851</v>
      </c>
      <c r="D64">
        <f t="shared" si="1"/>
        <v>-0.4523953117808559</v>
      </c>
      <c r="E64">
        <f t="shared" si="2"/>
        <v>-24.341772898200784</v>
      </c>
    </row>
    <row r="65" spans="1:12" x14ac:dyDescent="0.3">
      <c r="A65">
        <f t="shared" si="3"/>
        <v>0.49000000000000027</v>
      </c>
      <c r="B65">
        <f t="shared" si="4"/>
        <v>4.7580094899561338</v>
      </c>
      <c r="C65">
        <f t="shared" si="4"/>
        <v>0.96213175184761535</v>
      </c>
      <c r="D65">
        <f t="shared" si="1"/>
        <v>-0.48046426617467963</v>
      </c>
      <c r="E65">
        <f t="shared" si="2"/>
        <v>-25.662621294200211</v>
      </c>
    </row>
    <row r="66" spans="1:12" x14ac:dyDescent="0.3">
      <c r="A66">
        <f t="shared" si="3"/>
        <v>0.50000000000000022</v>
      </c>
      <c r="B66">
        <f t="shared" si="4"/>
        <v>4.8692028669854217</v>
      </c>
      <c r="C66">
        <f t="shared" si="4"/>
        <v>0.90308922730551244</v>
      </c>
      <c r="D66">
        <f t="shared" si="1"/>
        <v>-0.50697655477881165</v>
      </c>
      <c r="E66">
        <f t="shared" si="2"/>
        <v>-26.883939693377201</v>
      </c>
      <c r="L66" s="2" t="str">
        <f>"[TestCase("&amp;D66&amp;", "&amp;E66&amp;", "&amp;F66&amp;", "&amp;G66&amp;", "&amp;H66&amp;", "&amp;ROUND(I66,6)&amp;")]  // " &amp;J66</f>
        <v xml:space="preserve">[TestCase(-0.506976554778812, -26.8839396933772, , , , 0)]  // </v>
      </c>
    </row>
    <row r="67" spans="1:12" x14ac:dyDescent="0.3">
      <c r="A67">
        <f t="shared" si="3"/>
        <v>0.51000000000000023</v>
      </c>
      <c r="B67">
        <f t="shared" si="4"/>
        <v>4.980500881721122</v>
      </c>
      <c r="C67">
        <f t="shared" si="4"/>
        <v>0.8433242313815652</v>
      </c>
      <c r="D67">
        <f t="shared" si="1"/>
        <v>-0.5319206694676577</v>
      </c>
      <c r="E67">
        <f t="shared" si="2"/>
        <v>-28.009434656757033</v>
      </c>
    </row>
    <row r="68" spans="1:12" x14ac:dyDescent="0.3">
      <c r="A68">
        <f t="shared" si="3"/>
        <v>0.52000000000000024</v>
      </c>
      <c r="B68">
        <f t="shared" si="4"/>
        <v>5.0918765336929273</v>
      </c>
      <c r="C68">
        <f t="shared" si="4"/>
        <v>0.78297939015076246</v>
      </c>
      <c r="D68">
        <f t="shared" si="1"/>
        <v>-0.55528664373751568</v>
      </c>
      <c r="E68">
        <f t="shared" si="2"/>
        <v>-29.042829089990217</v>
      </c>
    </row>
    <row r="69" spans="1:12" x14ac:dyDescent="0.3">
      <c r="A69">
        <f t="shared" si="3"/>
        <v>0.53000000000000025</v>
      </c>
      <c r="B69">
        <f t="shared" si="4"/>
        <v>5.2033028224305324</v>
      </c>
      <c r="C69">
        <f t="shared" si="4"/>
        <v>0.72219732968809436</v>
      </c>
      <c r="D69">
        <f t="shared" si="1"/>
        <v>-0.57706605587284177</v>
      </c>
      <c r="E69">
        <f t="shared" si="2"/>
        <v>-29.987785329300369</v>
      </c>
    </row>
    <row r="70" spans="1:12" x14ac:dyDescent="0.3">
      <c r="A70">
        <f t="shared" si="3"/>
        <v>0.54000000000000026</v>
      </c>
      <c r="B70">
        <f t="shared" si="4"/>
        <v>5.3147527474636318</v>
      </c>
      <c r="C70">
        <f t="shared" si="4"/>
        <v>0.66112067606854885</v>
      </c>
      <c r="D70">
        <f t="shared" si="1"/>
        <v>-0.59725203117447534</v>
      </c>
      <c r="E70">
        <f t="shared" si="2"/>
        <v>-30.847846302834387</v>
      </c>
    </row>
    <row r="71" spans="1:12" x14ac:dyDescent="0.3">
      <c r="A71">
        <f t="shared" si="3"/>
        <v>0.55000000000000027</v>
      </c>
      <c r="B71">
        <f t="shared" si="4"/>
        <v>5.426199308321916</v>
      </c>
      <c r="C71">
        <f t="shared" si="4"/>
        <v>0.59989205536711698</v>
      </c>
      <c r="D71">
        <f t="shared" si="1"/>
        <v>-0.61583924324981831</v>
      </c>
      <c r="E71">
        <f t="shared" si="2"/>
        <v>-31.626391784051457</v>
      </c>
    </row>
    <row r="72" spans="1:12" x14ac:dyDescent="0.3">
      <c r="A72">
        <f t="shared" si="3"/>
        <v>0.56000000000000028</v>
      </c>
      <c r="B72">
        <f t="shared" si="4"/>
        <v>5.5376155045350837</v>
      </c>
      <c r="C72">
        <f t="shared" si="4"/>
        <v>0.53865409365878603</v>
      </c>
      <c r="D72">
        <f t="shared" si="1"/>
        <v>-0.63282391436497898</v>
      </c>
      <c r="E72">
        <f t="shared" si="2"/>
        <v>-32.326606980553251</v>
      </c>
    </row>
    <row r="73" spans="1:12" x14ac:dyDescent="0.3">
      <c r="A73">
        <f t="shared" si="3"/>
        <v>0.57000000000000028</v>
      </c>
      <c r="B73">
        <f t="shared" si="4"/>
        <v>5.6489743356328255</v>
      </c>
      <c r="C73">
        <f t="shared" si="4"/>
        <v>0.47754941701854681</v>
      </c>
      <c r="D73">
        <f t="shared" si="1"/>
        <v>-0.64820381485887957</v>
      </c>
      <c r="E73">
        <f t="shared" si="2"/>
        <v>-32.951461011586879</v>
      </c>
    </row>
    <row r="74" spans="1:12" x14ac:dyDescent="0.3">
      <c r="A74">
        <f t="shared" si="3"/>
        <v>0.58000000000000029</v>
      </c>
      <c r="B74">
        <f t="shared" si="4"/>
        <v>5.7602488011448365</v>
      </c>
      <c r="C74">
        <f t="shared" si="4"/>
        <v>0.41672065152138749</v>
      </c>
      <c r="D74">
        <f t="shared" si="1"/>
        <v>-0.66197826161931284</v>
      </c>
      <c r="E74">
        <f t="shared" si="2"/>
        <v>-33.503693167468441</v>
      </c>
    </row>
    <row r="75" spans="1:12" x14ac:dyDescent="0.3">
      <c r="A75">
        <f t="shared" si="3"/>
        <v>0.5900000000000003</v>
      </c>
      <c r="B75">
        <f t="shared" si="4"/>
        <v>5.8714119006008101</v>
      </c>
      <c r="C75">
        <f t="shared" si="4"/>
        <v>0.35631042324229822</v>
      </c>
      <c r="D75">
        <f t="shared" si="1"/>
        <v>-0.67414811562096899</v>
      </c>
      <c r="E75">
        <f t="shared" si="2"/>
        <v>-33.985805180568171</v>
      </c>
    </row>
    <row r="76" spans="1:12" x14ac:dyDescent="0.3">
      <c r="A76">
        <f t="shared" si="3"/>
        <v>0.60000000000000031</v>
      </c>
      <c r="B76">
        <f t="shared" si="4"/>
        <v>5.9824366335304404</v>
      </c>
      <c r="C76">
        <f t="shared" si="4"/>
        <v>0.29646135825626763</v>
      </c>
      <c r="D76">
        <f t="shared" si="1"/>
        <v>-0.68471577852541943</v>
      </c>
      <c r="E76">
        <f t="shared" si="2"/>
        <v>-34.400058050542015</v>
      </c>
    </row>
    <row r="77" spans="1:12" x14ac:dyDescent="0.3">
      <c r="A77">
        <f t="shared" si="3"/>
        <v>0.61000000000000032</v>
      </c>
      <c r="B77">
        <f t="shared" si="4"/>
        <v>6.0932959994634208</v>
      </c>
      <c r="C77">
        <f t="shared" si="4"/>
        <v>0.23731608263828563</v>
      </c>
      <c r="D77">
        <f t="shared" si="1"/>
        <v>-0.69368518834305748</v>
      </c>
      <c r="E77">
        <f t="shared" si="2"/>
        <v>-34.748472246322471</v>
      </c>
    </row>
    <row r="78" spans="1:12" x14ac:dyDescent="0.3">
      <c r="A78">
        <f t="shared" si="3"/>
        <v>0.62000000000000033</v>
      </c>
      <c r="B78">
        <f t="shared" si="4"/>
        <v>6.2039629979294464</v>
      </c>
      <c r="C78">
        <f t="shared" si="4"/>
        <v>0.1790172224633404</v>
      </c>
      <c r="D78">
        <f t="shared" si="1"/>
        <v>-0.70106181415700286</v>
      </c>
      <c r="E78">
        <f t="shared" si="2"/>
        <v>-35.032830350623911</v>
      </c>
    </row>
    <row r="79" spans="1:12" x14ac:dyDescent="0.3">
      <c r="A79">
        <f t="shared" si="3"/>
        <v>0.63000000000000034</v>
      </c>
      <c r="B79">
        <f t="shared" si="4"/>
        <v>6.3144106284582096</v>
      </c>
      <c r="C79">
        <f t="shared" si="4"/>
        <v>0.12170740380642209</v>
      </c>
      <c r="D79">
        <f t="shared" si="1"/>
        <v>-0.70685264990896268</v>
      </c>
      <c r="E79">
        <f t="shared" si="2"/>
        <v>-35.254681420045699</v>
      </c>
    </row>
    <row r="80" spans="1:12" x14ac:dyDescent="0.3">
      <c r="A80">
        <f t="shared" si="3"/>
        <v>0.64000000000000035</v>
      </c>
      <c r="B80">
        <f t="shared" ref="B80:C116" si="5">H$16*(1-$A80)^3+H$17*3*$A80*(1-$A80)^2+H$18*3*$A80^2*(1-$A80)+H$19*$A80^3</f>
        <v>6.4246118905794063</v>
      </c>
      <c r="C80">
        <f t="shared" si="5"/>
        <v>6.5529252742519528E-2</v>
      </c>
      <c r="D80">
        <f t="shared" si="1"/>
        <v>-0.71106620724706016</v>
      </c>
      <c r="E80">
        <f t="shared" si="2"/>
        <v>-35.415346508240034</v>
      </c>
    </row>
    <row r="81" spans="1:12" x14ac:dyDescent="0.3">
      <c r="A81">
        <f t="shared" si="3"/>
        <v>0.65000000000000036</v>
      </c>
      <c r="B81">
        <f t="shared" si="5"/>
        <v>6.5345397838227282</v>
      </c>
      <c r="C81">
        <f t="shared" si="5"/>
        <v>1.0625395346622435E-2</v>
      </c>
      <c r="D81">
        <f t="shared" ref="D81:D116" si="6">E$10-(2*(2*E$10+I$10)/C$1)*B81+3*((I$10+E$10)/C$1^2)*B81^2</f>
        <v>-0.7137125074356101</v>
      </c>
      <c r="E81">
        <f t="shared" ref="E81:E116" si="7">DEGREES(ATAN(D81))</f>
        <v>-35.515924945147944</v>
      </c>
    </row>
    <row r="82" spans="1:12" x14ac:dyDescent="0.3">
      <c r="A82">
        <f t="shared" ref="A82:A116" si="8">A81+B$14</f>
        <v>0.66000000000000036</v>
      </c>
      <c r="B82">
        <f t="shared" si="5"/>
        <v>6.6441673077178702</v>
      </c>
      <c r="C82">
        <f t="shared" si="5"/>
        <v>-4.2861542306280143E-2</v>
      </c>
      <c r="D82">
        <f t="shared" si="6"/>
        <v>-0.71480307232686791</v>
      </c>
      <c r="E82">
        <f t="shared" si="7"/>
        <v>-35.557301086491861</v>
      </c>
    </row>
    <row r="83" spans="1:12" x14ac:dyDescent="0.3">
      <c r="A83">
        <f t="shared" si="8"/>
        <v>0.67000000000000037</v>
      </c>
      <c r="B83">
        <f t="shared" si="5"/>
        <v>6.7534674617945267</v>
      </c>
      <c r="C83">
        <f t="shared" si="5"/>
        <v>-9.4788934141199599E-2</v>
      </c>
      <c r="D83">
        <f t="shared" si="6"/>
        <v>-0.71435091439472975</v>
      </c>
      <c r="E83">
        <f t="shared" si="7"/>
        <v>-35.5401513489699</v>
      </c>
    </row>
    <row r="84" spans="1:12" x14ac:dyDescent="0.3">
      <c r="A84">
        <f t="shared" si="8"/>
        <v>0.68000000000000038</v>
      </c>
      <c r="B84">
        <f t="shared" si="5"/>
        <v>6.8624132455823901</v>
      </c>
      <c r="C84">
        <f t="shared" si="5"/>
        <v>-0.14501415408314533</v>
      </c>
      <c r="D84">
        <f t="shared" si="6"/>
        <v>-0.71237052583039606</v>
      </c>
      <c r="E84">
        <f t="shared" si="7"/>
        <v>-35.464951432056324</v>
      </c>
    </row>
    <row r="85" spans="1:12" x14ac:dyDescent="0.3">
      <c r="A85">
        <f t="shared" si="8"/>
        <v>0.69000000000000039</v>
      </c>
      <c r="B85">
        <f t="shared" si="5"/>
        <v>6.9709776586111554</v>
      </c>
      <c r="C85">
        <f t="shared" si="5"/>
        <v>-0.19339457605712917</v>
      </c>
      <c r="D85">
        <f t="shared" si="6"/>
        <v>-0.70887786669999509</v>
      </c>
      <c r="E85">
        <f t="shared" si="7"/>
        <v>-35.331983700663329</v>
      </c>
    </row>
    <row r="86" spans="1:12" x14ac:dyDescent="0.3">
      <c r="A86">
        <f t="shared" si="8"/>
        <v>0.7000000000000004</v>
      </c>
      <c r="B86">
        <f t="shared" si="5"/>
        <v>7.0791337004105168</v>
      </c>
      <c r="C86">
        <f t="shared" si="5"/>
        <v>-0.23978757398816175</v>
      </c>
      <c r="D86">
        <f t="shared" si="6"/>
        <v>-0.70389035216416662</v>
      </c>
      <c r="E86">
        <f t="shared" si="7"/>
        <v>-35.141344767380389</v>
      </c>
    </row>
    <row r="87" spans="1:12" x14ac:dyDescent="0.3">
      <c r="A87">
        <f t="shared" si="8"/>
        <v>0.71000000000000041</v>
      </c>
      <c r="B87">
        <f t="shared" si="5"/>
        <v>7.1868543705101668</v>
      </c>
      <c r="C87">
        <f t="shared" si="5"/>
        <v>-0.28405052180125356</v>
      </c>
      <c r="D87">
        <f t="shared" si="6"/>
        <v>-0.69742683875960321</v>
      </c>
      <c r="E87">
        <f t="shared" si="7"/>
        <v>-34.892953371306412</v>
      </c>
    </row>
    <row r="88" spans="1:12" x14ac:dyDescent="0.3">
      <c r="A88">
        <f t="shared" si="8"/>
        <v>0.72000000000000042</v>
      </c>
      <c r="B88">
        <f t="shared" si="5"/>
        <v>7.2941126684398014</v>
      </c>
      <c r="C88">
        <f t="shared" si="5"/>
        <v>-0.32604079342141512</v>
      </c>
      <c r="D88">
        <f t="shared" si="6"/>
        <v>-0.68950760974255321</v>
      </c>
      <c r="E88">
        <f t="shared" si="7"/>
        <v>-34.586558704871372</v>
      </c>
    </row>
    <row r="89" spans="1:12" x14ac:dyDescent="0.3">
      <c r="A89">
        <f t="shared" si="8"/>
        <v>0.73000000000000043</v>
      </c>
      <c r="B89">
        <f t="shared" si="5"/>
        <v>7.4008815937291121</v>
      </c>
      <c r="C89">
        <f t="shared" si="5"/>
        <v>-0.3656157627736577</v>
      </c>
      <c r="D89">
        <f t="shared" si="6"/>
        <v>-0.68015435949428715</v>
      </c>
      <c r="E89">
        <f t="shared" si="7"/>
        <v>-34.221749392263888</v>
      </c>
    </row>
    <row r="90" spans="1:12" x14ac:dyDescent="0.3">
      <c r="A90">
        <f t="shared" si="8"/>
        <v>0.74000000000000044</v>
      </c>
      <c r="B90">
        <f t="shared" si="5"/>
        <v>7.5071341459077949</v>
      </c>
      <c r="C90">
        <f t="shared" si="5"/>
        <v>-0.40263280378299182</v>
      </c>
      <c r="D90">
        <f t="shared" si="6"/>
        <v>-0.66939017698851666</v>
      </c>
      <c r="E90">
        <f t="shared" si="7"/>
        <v>-33.797963374385063</v>
      </c>
    </row>
    <row r="91" spans="1:12" x14ac:dyDescent="0.3">
      <c r="A91">
        <f t="shared" si="8"/>
        <v>0.75000000000000044</v>
      </c>
      <c r="B91">
        <f t="shared" si="5"/>
        <v>7.6128433245055431</v>
      </c>
      <c r="C91">
        <f t="shared" si="5"/>
        <v>-0.43694929037442809</v>
      </c>
      <c r="D91">
        <f t="shared" si="6"/>
        <v>-0.65723952832077925</v>
      </c>
      <c r="E91">
        <f t="shared" si="7"/>
        <v>-33.314499006330259</v>
      </c>
    </row>
    <row r="92" spans="1:12" x14ac:dyDescent="0.3">
      <c r="A92">
        <f t="shared" si="8"/>
        <v>0.76000000000000045</v>
      </c>
      <c r="B92">
        <f t="shared" si="5"/>
        <v>7.7179821290520483</v>
      </c>
      <c r="C92">
        <f t="shared" si="5"/>
        <v>-0.46842259647297724</v>
      </c>
      <c r="D92">
        <f t="shared" si="6"/>
        <v>-0.64372823829978465</v>
      </c>
      <c r="E92">
        <f t="shared" si="7"/>
        <v>-32.770527724302866</v>
      </c>
    </row>
    <row r="93" spans="1:12" x14ac:dyDescent="0.3">
      <c r="A93">
        <f t="shared" si="8"/>
        <v>0.77000000000000046</v>
      </c>
      <c r="B93">
        <f t="shared" si="5"/>
        <v>7.822523559077009</v>
      </c>
      <c r="C93">
        <f t="shared" si="5"/>
        <v>-0.49691009600365055</v>
      </c>
      <c r="D93">
        <f t="shared" si="6"/>
        <v>-0.6288834711007083</v>
      </c>
      <c r="E93">
        <f t="shared" si="7"/>
        <v>-32.165108688874533</v>
      </c>
    </row>
    <row r="94" spans="1:12" x14ac:dyDescent="0.3">
      <c r="A94">
        <f t="shared" si="8"/>
        <v>0.78000000000000047</v>
      </c>
      <c r="B94">
        <f t="shared" si="5"/>
        <v>7.9264406141101142</v>
      </c>
      <c r="C94">
        <f t="shared" si="5"/>
        <v>-0.52226916289145786</v>
      </c>
      <c r="D94">
        <f t="shared" si="6"/>
        <v>-0.61273370998046683</v>
      </c>
      <c r="E94">
        <f t="shared" si="7"/>
        <v>-31.497205858978404</v>
      </c>
    </row>
    <row r="95" spans="1:12" x14ac:dyDescent="0.3">
      <c r="A95">
        <f t="shared" si="8"/>
        <v>0.79000000000000048</v>
      </c>
      <c r="B95">
        <f t="shared" si="5"/>
        <v>8.0297062936810608</v>
      </c>
      <c r="C95">
        <f t="shared" si="5"/>
        <v>-0.54435717106141068</v>
      </c>
      <c r="D95">
        <f t="shared" si="6"/>
        <v>-0.59530873605493095</v>
      </c>
      <c r="E95">
        <f t="shared" si="7"/>
        <v>-30.765707993169805</v>
      </c>
    </row>
    <row r="96" spans="1:12" x14ac:dyDescent="0.3">
      <c r="A96">
        <f t="shared" si="8"/>
        <v>0.80000000000000049</v>
      </c>
      <c r="B96">
        <f t="shared" si="5"/>
        <v>8.132293597319542</v>
      </c>
      <c r="C96">
        <f t="shared" si="5"/>
        <v>-0.5630314944385193</v>
      </c>
      <c r="D96">
        <f t="shared" si="6"/>
        <v>-0.57663960613811227</v>
      </c>
      <c r="E96">
        <f t="shared" si="7"/>
        <v>-29.969452107378213</v>
      </c>
      <c r="L96" s="2" t="str">
        <f>"[TestCase("&amp;D96&amp;", "&amp;E96&amp;", "&amp;F96&amp;", "&amp;G96&amp;", "&amp;H96&amp;", "&amp;ROUND(I96,6)&amp;")]  // " &amp;J96</f>
        <v xml:space="preserve">[TestCase(-0.576639606138112, -29.9694521073782, , , , 0)]  // </v>
      </c>
    </row>
    <row r="97" spans="1:5" x14ac:dyDescent="0.3">
      <c r="A97">
        <f t="shared" si="8"/>
        <v>0.8100000000000005</v>
      </c>
      <c r="B97">
        <f t="shared" si="5"/>
        <v>8.2341755245552513</v>
      </c>
      <c r="C97">
        <f t="shared" si="5"/>
        <v>-0.57814950694779477</v>
      </c>
      <c r="D97">
        <f t="shared" si="6"/>
        <v>-0.55675862964330936</v>
      </c>
      <c r="E97">
        <f t="shared" si="7"/>
        <v>-29.107250935849393</v>
      </c>
    </row>
    <row r="98" spans="1:5" x14ac:dyDescent="0.3">
      <c r="A98">
        <f t="shared" si="8"/>
        <v>0.82000000000000051</v>
      </c>
      <c r="B98">
        <f t="shared" si="5"/>
        <v>8.3353250749178827</v>
      </c>
      <c r="C98">
        <f t="shared" si="5"/>
        <v>-0.5895685825142476</v>
      </c>
      <c r="D98">
        <f t="shared" si="6"/>
        <v>-0.53569934454620505</v>
      </c>
      <c r="E98">
        <f t="shared" si="7"/>
        <v>-28.177924936700709</v>
      </c>
    </row>
    <row r="99" spans="1:5" x14ac:dyDescent="0.3">
      <c r="A99">
        <f t="shared" si="8"/>
        <v>0.83000000000000052</v>
      </c>
      <c r="B99">
        <f t="shared" si="5"/>
        <v>8.4357152479371305</v>
      </c>
      <c r="C99">
        <f t="shared" si="5"/>
        <v>-0.59714609506288885</v>
      </c>
      <c r="D99">
        <f t="shared" si="6"/>
        <v>-0.51349649240993323</v>
      </c>
      <c r="E99">
        <f t="shared" si="7"/>
        <v>-27.180339346036746</v>
      </c>
    </row>
    <row r="100" spans="1:5" x14ac:dyDescent="0.3">
      <c r="A100">
        <f t="shared" si="8"/>
        <v>0.84000000000000052</v>
      </c>
      <c r="B100">
        <f t="shared" si="5"/>
        <v>8.5353190431426906</v>
      </c>
      <c r="C100">
        <f t="shared" si="5"/>
        <v>-0.60073941851872914</v>
      </c>
      <c r="D100">
        <f t="shared" si="6"/>
        <v>-0.4901859924720986</v>
      </c>
      <c r="E100">
        <f t="shared" si="7"/>
        <v>-26.113446703628835</v>
      </c>
    </row>
    <row r="101" spans="1:5" x14ac:dyDescent="0.3">
      <c r="A101">
        <f t="shared" si="8"/>
        <v>0.85000000000000053</v>
      </c>
      <c r="B101">
        <f t="shared" si="5"/>
        <v>8.6341094600642521</v>
      </c>
      <c r="C101">
        <f t="shared" si="5"/>
        <v>-0.60020592680677876</v>
      </c>
      <c r="D101">
        <f t="shared" si="6"/>
        <v>-0.46580491479376818</v>
      </c>
      <c r="E101">
        <f t="shared" si="7"/>
        <v>-24.976335136067906</v>
      </c>
    </row>
    <row r="102" spans="1:5" x14ac:dyDescent="0.3">
      <c r="A102">
        <f t="shared" si="8"/>
        <v>0.86000000000000054</v>
      </c>
      <c r="B102">
        <f t="shared" si="5"/>
        <v>8.7320594982315107</v>
      </c>
      <c r="C102">
        <f t="shared" si="5"/>
        <v>-0.59540299385204909</v>
      </c>
      <c r="D102">
        <f t="shared" si="6"/>
        <v>-0.44039145247039801</v>
      </c>
      <c r="E102">
        <f t="shared" si="7"/>
        <v>-23.768282476784901</v>
      </c>
    </row>
    <row r="103" spans="1:5" x14ac:dyDescent="0.3">
      <c r="A103">
        <f t="shared" si="8"/>
        <v>0.87000000000000055</v>
      </c>
      <c r="B103">
        <f t="shared" si="5"/>
        <v>8.8291421571741626</v>
      </c>
      <c r="C103">
        <f t="shared" si="5"/>
        <v>-0.58618799357955043</v>
      </c>
      <c r="D103">
        <f t="shared" si="6"/>
        <v>-0.41398489290475471</v>
      </c>
      <c r="E103">
        <f t="shared" si="7"/>
        <v>-22.488816014031659</v>
      </c>
    </row>
    <row r="104" spans="1:5" x14ac:dyDescent="0.3">
      <c r="A104">
        <f t="shared" si="8"/>
        <v>0.88000000000000056</v>
      </c>
      <c r="B104">
        <f t="shared" si="5"/>
        <v>8.9253304364219002</v>
      </c>
      <c r="C104">
        <f t="shared" si="5"/>
        <v>-0.57241829991429372</v>
      </c>
      <c r="D104">
        <f t="shared" si="6"/>
        <v>-0.38662558814176418</v>
      </c>
      <c r="E104">
        <f t="shared" si="7"/>
        <v>-21.137777278534525</v>
      </c>
    </row>
    <row r="105" spans="1:5" x14ac:dyDescent="0.3">
      <c r="A105">
        <f t="shared" si="8"/>
        <v>0.89000000000000057</v>
      </c>
      <c r="B105">
        <f t="shared" si="5"/>
        <v>9.0205973355044176</v>
      </c>
      <c r="C105">
        <f t="shared" si="5"/>
        <v>-0.5539512867812898</v>
      </c>
      <c r="D105">
        <f t="shared" si="6"/>
        <v>-0.35835492426534366</v>
      </c>
      <c r="E105">
        <f t="shared" si="7"/>
        <v>-19.715390808946399</v>
      </c>
    </row>
    <row r="106" spans="1:5" x14ac:dyDescent="0.3">
      <c r="A106">
        <f t="shared" si="8"/>
        <v>0.90000000000000058</v>
      </c>
      <c r="B106">
        <f t="shared" si="5"/>
        <v>9.114915853951409</v>
      </c>
      <c r="C106">
        <f t="shared" si="5"/>
        <v>-0.53064432810554918</v>
      </c>
      <c r="D106">
        <f t="shared" si="6"/>
        <v>-0.32921528985718229</v>
      </c>
      <c r="E106">
        <f t="shared" si="7"/>
        <v>-18.222335272138874</v>
      </c>
    </row>
    <row r="107" spans="1:5" x14ac:dyDescent="0.3">
      <c r="A107">
        <f t="shared" si="8"/>
        <v>0.91000000000000059</v>
      </c>
      <c r="B107">
        <f t="shared" si="5"/>
        <v>9.2082589912925652</v>
      </c>
      <c r="C107">
        <f t="shared" si="5"/>
        <v>-0.50235479781208281</v>
      </c>
      <c r="D107">
        <f t="shared" si="6"/>
        <v>-0.29925004351747386</v>
      </c>
      <c r="E107">
        <f t="shared" si="7"/>
        <v>-16.65981468755583</v>
      </c>
    </row>
    <row r="108" spans="1:5" x14ac:dyDescent="0.3">
      <c r="A108">
        <f t="shared" si="8"/>
        <v>0.9200000000000006</v>
      </c>
      <c r="B108">
        <f t="shared" si="5"/>
        <v>9.3005997470575839</v>
      </c>
      <c r="C108">
        <f t="shared" si="5"/>
        <v>-0.46894006982590108</v>
      </c>
      <c r="D108">
        <f t="shared" si="6"/>
        <v>-0.26850348044763983</v>
      </c>
      <c r="E108">
        <f t="shared" si="7"/>
        <v>-15.029626848892974</v>
      </c>
    </row>
    <row r="109" spans="1:5" x14ac:dyDescent="0.3">
      <c r="A109">
        <f t="shared" si="8"/>
        <v>0.9300000000000006</v>
      </c>
      <c r="B109">
        <f t="shared" si="5"/>
        <v>9.3919111207761574</v>
      </c>
      <c r="C109">
        <f t="shared" si="5"/>
        <v>-0.43025751807201518</v>
      </c>
      <c r="D109">
        <f t="shared" si="6"/>
        <v>-0.23702079809497789</v>
      </c>
      <c r="E109">
        <f t="shared" si="7"/>
        <v>-13.334225411224875</v>
      </c>
    </row>
    <row r="110" spans="1:5" x14ac:dyDescent="0.3">
      <c r="A110">
        <f t="shared" si="8"/>
        <v>0.94000000000000061</v>
      </c>
      <c r="B110">
        <f t="shared" si="5"/>
        <v>9.4821661119779819</v>
      </c>
      <c r="C110">
        <f t="shared" si="5"/>
        <v>-0.38616451647543576</v>
      </c>
      <c r="D110">
        <f t="shared" si="6"/>
        <v>-0.20484806085928042</v>
      </c>
      <c r="E110">
        <f t="shared" si="7"/>
        <v>-11.576771596443672</v>
      </c>
    </row>
    <row r="111" spans="1:5" x14ac:dyDescent="0.3">
      <c r="A111">
        <f t="shared" si="8"/>
        <v>0.95000000000000062</v>
      </c>
      <c r="B111">
        <f t="shared" si="5"/>
        <v>9.5713377201927461</v>
      </c>
      <c r="C111">
        <f t="shared" si="5"/>
        <v>-0.33651843896117334</v>
      </c>
      <c r="D111">
        <f t="shared" si="6"/>
        <v>-0.17203216386143794</v>
      </c>
      <c r="E111">
        <f t="shared" si="7"/>
        <v>-9.7611711591315053</v>
      </c>
    </row>
    <row r="112" spans="1:5" x14ac:dyDescent="0.3">
      <c r="A112">
        <f t="shared" si="8"/>
        <v>0.96000000000000063</v>
      </c>
      <c r="B112">
        <f t="shared" si="5"/>
        <v>9.6593989449501496</v>
      </c>
      <c r="C112">
        <f t="shared" si="5"/>
        <v>-0.28117665945423886</v>
      </c>
      <c r="D112">
        <f t="shared" si="6"/>
        <v>-0.13862079577396091</v>
      </c>
      <c r="E112">
        <f t="shared" si="7"/>
        <v>-7.8920922490760628</v>
      </c>
    </row>
    <row r="113" spans="1:12" x14ac:dyDescent="0.3">
      <c r="A113">
        <f t="shared" si="8"/>
        <v>0.97000000000000064</v>
      </c>
      <c r="B113">
        <f t="shared" si="5"/>
        <v>9.7463227857798831</v>
      </c>
      <c r="C113">
        <f t="shared" si="5"/>
        <v>-0.21999655187964301</v>
      </c>
      <c r="D113">
        <f t="shared" si="6"/>
        <v>-0.10466240071349286</v>
      </c>
      <c r="E113">
        <f t="shared" si="7"/>
        <v>-5.9749601959313328</v>
      </c>
    </row>
    <row r="114" spans="1:12" x14ac:dyDescent="0.3">
      <c r="A114">
        <f t="shared" si="8"/>
        <v>0.98000000000000065</v>
      </c>
      <c r="B114">
        <f t="shared" si="5"/>
        <v>9.8320822422116407</v>
      </c>
      <c r="C114">
        <f t="shared" si="5"/>
        <v>-0.15283549016239648</v>
      </c>
      <c r="D114">
        <f t="shared" si="6"/>
        <v>-7.0206139195274631E-2</v>
      </c>
      <c r="E114">
        <f t="shared" si="7"/>
        <v>-4.0159260864163402</v>
      </c>
    </row>
    <row r="115" spans="1:12" x14ac:dyDescent="0.3">
      <c r="A115">
        <f t="shared" si="8"/>
        <v>0.99000000000000066</v>
      </c>
      <c r="B115">
        <f t="shared" si="5"/>
        <v>9.9166503137751167</v>
      </c>
      <c r="C115">
        <f t="shared" si="5"/>
        <v>-7.9550848227510046E-2</v>
      </c>
      <c r="D115">
        <f t="shared" si="6"/>
        <v>-3.530184814955728E-2</v>
      </c>
      <c r="E115">
        <f t="shared" si="7"/>
        <v>-2.0218073143478787</v>
      </c>
    </row>
    <row r="116" spans="1:12" x14ac:dyDescent="0.3">
      <c r="A116">
        <f t="shared" si="8"/>
        <v>1.0000000000000007</v>
      </c>
      <c r="B116">
        <f t="shared" si="5"/>
        <v>10.000000000000005</v>
      </c>
      <c r="C116">
        <f t="shared" si="5"/>
        <v>5.5110245299800648E-15</v>
      </c>
      <c r="D116">
        <f t="shared" si="6"/>
        <v>0</v>
      </c>
      <c r="E116">
        <f t="shared" si="7"/>
        <v>0</v>
      </c>
      <c r="L116" s="2" t="str">
        <f>"[TestCase("&amp;D116&amp;", "&amp;E116&amp;", "&amp;F116&amp;", "&amp;G116&amp;", "&amp;H116&amp;", "&amp;ROUND(I116,6)&amp;")]  // " &amp;J116</f>
        <v xml:space="preserve">[TestCase(0, 0, , , , 0)]  // </v>
      </c>
    </row>
  </sheetData>
  <mergeCells count="3">
    <mergeCell ref="B6:K6"/>
    <mergeCell ref="B7:F7"/>
    <mergeCell ref="G7:K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4" r:id="rId3" name="SpinButtonRadius2">
          <controlPr defaultSize="0" autoLine="0" r:id="rId4">
            <anchor moveWithCells="1">
              <from>
                <xdr:col>3</xdr:col>
                <xdr:colOff>30480</xdr:colOff>
                <xdr:row>4</xdr:row>
                <xdr:rowOff>15240</xdr:rowOff>
              </from>
              <to>
                <xdr:col>3</xdr:col>
                <xdr:colOff>556260</xdr:colOff>
                <xdr:row>5</xdr:row>
                <xdr:rowOff>0</xdr:rowOff>
              </to>
            </anchor>
          </controlPr>
        </control>
      </mc:Choice>
      <mc:Fallback>
        <control shapeId="15364" r:id="rId3" name="SpinButtonRadius2"/>
      </mc:Fallback>
    </mc:AlternateContent>
    <mc:AlternateContent xmlns:mc="http://schemas.openxmlformats.org/markup-compatibility/2006">
      <mc:Choice Requires="x14">
        <control shapeId="15363" r:id="rId5" name="SpinButtonRadius1">
          <controlPr defaultSize="0" autoLine="0" r:id="rId4">
            <anchor moveWithCells="1">
              <from>
                <xdr:col>3</xdr:col>
                <xdr:colOff>30480</xdr:colOff>
                <xdr:row>2</xdr:row>
                <xdr:rowOff>30480</xdr:rowOff>
              </from>
              <to>
                <xdr:col>3</xdr:col>
                <xdr:colOff>556260</xdr:colOff>
                <xdr:row>3</xdr:row>
                <xdr:rowOff>7620</xdr:rowOff>
              </to>
            </anchor>
          </controlPr>
        </control>
      </mc:Choice>
      <mc:Fallback>
        <control shapeId="15363" r:id="rId5" name="SpinButtonRadius1"/>
      </mc:Fallback>
    </mc:AlternateContent>
    <mc:AlternateContent xmlns:mc="http://schemas.openxmlformats.org/markup-compatibility/2006">
      <mc:Choice Requires="x14">
        <control shapeId="15362" r:id="rId6" name="SpinButtonTheta2">
          <controlPr defaultSize="0" autoLine="0" r:id="rId4">
            <anchor moveWithCells="1">
              <from>
                <xdr:col>3</xdr:col>
                <xdr:colOff>30480</xdr:colOff>
                <xdr:row>3</xdr:row>
                <xdr:rowOff>30480</xdr:rowOff>
              </from>
              <to>
                <xdr:col>3</xdr:col>
                <xdr:colOff>556260</xdr:colOff>
                <xdr:row>4</xdr:row>
                <xdr:rowOff>7620</xdr:rowOff>
              </to>
            </anchor>
          </controlPr>
        </control>
      </mc:Choice>
      <mc:Fallback>
        <control shapeId="15362" r:id="rId6" name="SpinButtonTheta2"/>
      </mc:Fallback>
    </mc:AlternateContent>
    <mc:AlternateContent xmlns:mc="http://schemas.openxmlformats.org/markup-compatibility/2006">
      <mc:Choice Requires="x14">
        <control shapeId="15361" r:id="rId7" name="SpinButtonTheta1">
          <controlPr defaultSize="0" autoLine="0" r:id="rId8">
            <anchor moveWithCells="1">
              <from>
                <xdr:col>3</xdr:col>
                <xdr:colOff>38100</xdr:colOff>
                <xdr:row>1</xdr:row>
                <xdr:rowOff>15240</xdr:rowOff>
              </from>
              <to>
                <xdr:col>3</xdr:col>
                <xdr:colOff>457200</xdr:colOff>
                <xdr:row>1</xdr:row>
                <xdr:rowOff>160020</xdr:rowOff>
              </to>
            </anchor>
          </controlPr>
        </control>
      </mc:Choice>
      <mc:Fallback>
        <control shapeId="15361" r:id="rId7" name="SpinButtonTheta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151D1-DA72-456E-B608-9F329A68D420}">
  <dimension ref="A1:AH90"/>
  <sheetViews>
    <sheetView topLeftCell="A49" zoomScale="85" zoomScaleNormal="85" workbookViewId="0">
      <selection activeCell="Q77" sqref="Q77"/>
    </sheetView>
  </sheetViews>
  <sheetFormatPr defaultRowHeight="14.4" x14ac:dyDescent="0.3"/>
  <cols>
    <col min="8" max="8" width="14.21875" customWidth="1"/>
    <col min="9" max="9" width="14.5546875" customWidth="1"/>
    <col min="10" max="10" width="14.44140625" customWidth="1"/>
    <col min="11" max="11" width="14.77734375" customWidth="1"/>
    <col min="12" max="13" width="10.5546875" bestFit="1" customWidth="1"/>
  </cols>
  <sheetData>
    <row r="1" spans="1:22" s="2" customFormat="1" x14ac:dyDescent="0.3">
      <c r="A1" s="2" t="s">
        <v>357</v>
      </c>
    </row>
    <row r="2" spans="1:22" s="4" customFormat="1" x14ac:dyDescent="0.3">
      <c r="A2" s="131" t="s">
        <v>358</v>
      </c>
      <c r="B2" s="132"/>
      <c r="C2" s="132"/>
      <c r="D2" s="133"/>
      <c r="F2" s="36"/>
      <c r="G2" s="36"/>
      <c r="H2" s="131" t="s">
        <v>364</v>
      </c>
      <c r="I2" s="132"/>
      <c r="J2" s="132"/>
      <c r="K2" s="133"/>
      <c r="N2" s="60"/>
      <c r="O2" s="134" t="s">
        <v>363</v>
      </c>
      <c r="P2" s="134"/>
    </row>
    <row r="3" spans="1:22" s="6" customFormat="1" x14ac:dyDescent="0.3">
      <c r="A3" s="13" t="s">
        <v>125</v>
      </c>
      <c r="B3" s="14" t="s">
        <v>126</v>
      </c>
      <c r="C3" s="14" t="s">
        <v>127</v>
      </c>
      <c r="D3" s="18" t="s">
        <v>128</v>
      </c>
      <c r="E3" s="6" t="s">
        <v>170</v>
      </c>
      <c r="F3" s="14" t="s">
        <v>401</v>
      </c>
      <c r="G3" s="14" t="s">
        <v>361</v>
      </c>
      <c r="H3" s="13" t="s">
        <v>125</v>
      </c>
      <c r="I3" s="14" t="s">
        <v>126</v>
      </c>
      <c r="J3" s="14" t="s">
        <v>127</v>
      </c>
      <c r="K3" s="18" t="s">
        <v>128</v>
      </c>
      <c r="L3" s="6" t="s">
        <v>169</v>
      </c>
      <c r="M3" s="6" t="s">
        <v>402</v>
      </c>
      <c r="N3" s="18" t="s">
        <v>362</v>
      </c>
      <c r="O3" s="6" t="s">
        <v>22</v>
      </c>
      <c r="P3" s="6" t="s">
        <v>23</v>
      </c>
    </row>
    <row r="4" spans="1:22" s="65" customFormat="1" ht="13.8" customHeight="1" x14ac:dyDescent="0.3">
      <c r="A4" s="62">
        <v>-6</v>
      </c>
      <c r="B4" s="63">
        <v>4</v>
      </c>
      <c r="C4" s="63">
        <v>6</v>
      </c>
      <c r="D4" s="64">
        <v>4</v>
      </c>
      <c r="E4" s="65">
        <f t="shared" ref="E4:E11" si="0">IF(G4="Vertical","N/A",D4-G4*C4)</f>
        <v>4</v>
      </c>
      <c r="F4" s="63" t="str">
        <f t="shared" ref="F4:F11" si="1">IF(G4="Vertical",C4,IF(G4=0,"N/A",C4-D4/G4))</f>
        <v>N/A</v>
      </c>
      <c r="G4" s="63">
        <f t="shared" ref="G4:G19" si="2">IF(C4=A4,"Vertical",(D4-B4)/(C4-A4))</f>
        <v>0</v>
      </c>
      <c r="H4" s="62">
        <v>4</v>
      </c>
      <c r="I4" s="63">
        <v>6</v>
      </c>
      <c r="J4" s="63">
        <v>4</v>
      </c>
      <c r="K4" s="64">
        <v>-6</v>
      </c>
      <c r="L4" s="65" t="str">
        <f t="shared" ref="L4:L19" si="3">IF(N4="Vertical","N/A",K4-N4*J4)</f>
        <v>N/A</v>
      </c>
      <c r="M4" s="63">
        <f t="shared" ref="M4:M19" si="4">IF(N4="Vertical",J4,IF(N4=0,"N/A",J4-K4/N4))</f>
        <v>4</v>
      </c>
      <c r="N4" s="64" t="str">
        <f t="shared" ref="N4:N19" si="5">IF(J4=H4,"Vertical",(K4-I4)/(J4-H4))</f>
        <v>Vertical</v>
      </c>
      <c r="O4" s="65">
        <f t="shared" ref="O4:O19" si="6">IF(G4="Vertical",A4,IF(N4="Vertical",H4,(E4-L4)/(N4-G4)))</f>
        <v>4</v>
      </c>
      <c r="P4" s="65">
        <f t="shared" ref="P4:P19" si="7">IF(G4="Vertical",L4+N4*C4,IF(N4="Vertical",E4+G4*H4,E4+(E4-L4)*G4/(N4-G4)))</f>
        <v>4</v>
      </c>
      <c r="R4" s="65" t="s">
        <v>365</v>
      </c>
      <c r="V4" s="66" t="str">
        <f>"[TestCase("&amp;A4&amp;", "&amp;B4&amp;", "&amp;C4&amp;", "&amp;D4&amp;", "&amp;H4&amp;", "&amp;I4&amp;", "&amp;J4&amp;", "&amp;K4&amp;", "&amp;O4&amp;", "&amp;P4&amp;")]  // " &amp; R4</f>
        <v>[TestCase(-6, 4, 6, 4, 4, 6, 4, -6, 4, 4)]  // Perpedicular aligned quadrant 1</v>
      </c>
    </row>
    <row r="5" spans="1:22" s="65" customFormat="1" x14ac:dyDescent="0.3">
      <c r="A5" s="62">
        <v>-6</v>
      </c>
      <c r="B5" s="63">
        <v>4</v>
      </c>
      <c r="C5" s="63">
        <v>6</v>
      </c>
      <c r="D5" s="64">
        <v>4</v>
      </c>
      <c r="E5" s="65">
        <f t="shared" si="0"/>
        <v>4</v>
      </c>
      <c r="F5" s="63" t="str">
        <f t="shared" si="1"/>
        <v>N/A</v>
      </c>
      <c r="G5" s="63">
        <f t="shared" si="2"/>
        <v>0</v>
      </c>
      <c r="H5" s="62">
        <v>-4</v>
      </c>
      <c r="I5" s="63">
        <v>6</v>
      </c>
      <c r="J5" s="63">
        <v>-4</v>
      </c>
      <c r="K5" s="64">
        <v>-6</v>
      </c>
      <c r="L5" s="65" t="str">
        <f t="shared" si="3"/>
        <v>N/A</v>
      </c>
      <c r="M5" s="63">
        <f t="shared" si="4"/>
        <v>-4</v>
      </c>
      <c r="N5" s="64" t="str">
        <f t="shared" si="5"/>
        <v>Vertical</v>
      </c>
      <c r="O5" s="65">
        <f t="shared" si="6"/>
        <v>-4</v>
      </c>
      <c r="P5" s="65">
        <f t="shared" si="7"/>
        <v>4</v>
      </c>
      <c r="R5" s="65" t="s">
        <v>366</v>
      </c>
      <c r="V5" s="66" t="str">
        <f t="shared" ref="V5:V13" si="8">"[TestCase("&amp;A5&amp;", "&amp;B5&amp;", "&amp;C5&amp;", "&amp;D5&amp;", "&amp;H5&amp;", "&amp;I5&amp;", "&amp;J5&amp;", "&amp;K5&amp;", "&amp;O5&amp;", "&amp;P5&amp;")]  // " &amp; R5</f>
        <v>[TestCase(-6, 4, 6, 4, -4, 6, -4, -6, -4, 4)]  // Perpedicular aligned quadrant 2</v>
      </c>
    </row>
    <row r="6" spans="1:22" s="65" customFormat="1" x14ac:dyDescent="0.3">
      <c r="A6" s="62">
        <v>-6</v>
      </c>
      <c r="B6" s="63">
        <v>-4</v>
      </c>
      <c r="C6" s="63">
        <v>6</v>
      </c>
      <c r="D6" s="64">
        <v>-4</v>
      </c>
      <c r="E6" s="65">
        <f t="shared" si="0"/>
        <v>-4</v>
      </c>
      <c r="F6" s="63" t="str">
        <f t="shared" si="1"/>
        <v>N/A</v>
      </c>
      <c r="G6" s="63">
        <f t="shared" si="2"/>
        <v>0</v>
      </c>
      <c r="H6" s="62">
        <v>-4</v>
      </c>
      <c r="I6" s="63">
        <v>6</v>
      </c>
      <c r="J6" s="63">
        <v>-4</v>
      </c>
      <c r="K6" s="64">
        <v>-6</v>
      </c>
      <c r="L6" s="65" t="str">
        <f t="shared" si="3"/>
        <v>N/A</v>
      </c>
      <c r="M6" s="63">
        <f t="shared" si="4"/>
        <v>-4</v>
      </c>
      <c r="N6" s="64" t="str">
        <f t="shared" si="5"/>
        <v>Vertical</v>
      </c>
      <c r="O6" s="65">
        <f t="shared" si="6"/>
        <v>-4</v>
      </c>
      <c r="P6" s="65">
        <f t="shared" si="7"/>
        <v>-4</v>
      </c>
      <c r="R6" s="65" t="s">
        <v>367</v>
      </c>
      <c r="V6" s="66" t="str">
        <f t="shared" si="8"/>
        <v>[TestCase(-6, -4, 6, -4, -4, 6, -4, -6, -4, -4)]  // Perpedicular aligned quadrant 3</v>
      </c>
    </row>
    <row r="7" spans="1:22" s="65" customFormat="1" x14ac:dyDescent="0.3">
      <c r="A7" s="62">
        <v>-6</v>
      </c>
      <c r="B7" s="63">
        <v>-4</v>
      </c>
      <c r="C7" s="63">
        <v>6</v>
      </c>
      <c r="D7" s="64">
        <v>-4</v>
      </c>
      <c r="E7" s="65">
        <f t="shared" si="0"/>
        <v>-4</v>
      </c>
      <c r="F7" s="63" t="str">
        <f t="shared" si="1"/>
        <v>N/A</v>
      </c>
      <c r="G7" s="63">
        <f t="shared" si="2"/>
        <v>0</v>
      </c>
      <c r="H7" s="62">
        <v>4</v>
      </c>
      <c r="I7" s="63">
        <v>6</v>
      </c>
      <c r="J7" s="63">
        <v>4</v>
      </c>
      <c r="K7" s="64">
        <v>-6</v>
      </c>
      <c r="L7" s="65" t="str">
        <f t="shared" si="3"/>
        <v>N/A</v>
      </c>
      <c r="M7" s="63">
        <f t="shared" si="4"/>
        <v>4</v>
      </c>
      <c r="N7" s="64" t="str">
        <f t="shared" si="5"/>
        <v>Vertical</v>
      </c>
      <c r="O7" s="65">
        <f t="shared" si="6"/>
        <v>4</v>
      </c>
      <c r="P7" s="65">
        <f t="shared" si="7"/>
        <v>-4</v>
      </c>
      <c r="R7" s="65" t="s">
        <v>368</v>
      </c>
      <c r="V7" s="66" t="str">
        <f t="shared" si="8"/>
        <v>[TestCase(-6, -4, 6, -4, 4, 6, 4, -6, 4, -4)]  // Perpedicular aligned quadrant 4</v>
      </c>
    </row>
    <row r="8" spans="1:22" s="7" customFormat="1" ht="15.6" customHeight="1" x14ac:dyDescent="0.3">
      <c r="A8" s="56">
        <v>0</v>
      </c>
      <c r="B8" s="57">
        <v>4</v>
      </c>
      <c r="C8" s="57">
        <v>4</v>
      </c>
      <c r="D8" s="58">
        <v>0</v>
      </c>
      <c r="E8" s="66">
        <f t="shared" si="0"/>
        <v>4</v>
      </c>
      <c r="F8" s="67">
        <f t="shared" si="1"/>
        <v>4</v>
      </c>
      <c r="G8" s="57">
        <f t="shared" si="2"/>
        <v>-1</v>
      </c>
      <c r="H8" s="56">
        <v>0</v>
      </c>
      <c r="I8" s="57">
        <v>0</v>
      </c>
      <c r="J8" s="57">
        <v>4</v>
      </c>
      <c r="K8" s="58">
        <v>4</v>
      </c>
      <c r="L8" s="66">
        <f t="shared" si="3"/>
        <v>0</v>
      </c>
      <c r="M8" s="67">
        <f t="shared" si="4"/>
        <v>0</v>
      </c>
      <c r="N8" s="58">
        <f t="shared" si="5"/>
        <v>1</v>
      </c>
      <c r="O8" s="7">
        <f t="shared" si="6"/>
        <v>2</v>
      </c>
      <c r="P8" s="7">
        <f t="shared" si="7"/>
        <v>2</v>
      </c>
      <c r="R8" s="7" t="s">
        <v>369</v>
      </c>
      <c r="V8" s="66" t="str">
        <f t="shared" si="8"/>
        <v>[TestCase(0, 4, 4, 0, 0, 0, 4, 4, 2, 2)]  // Perpendicular, rotated</v>
      </c>
    </row>
    <row r="9" spans="1:22" s="7" customFormat="1" ht="15.6" customHeight="1" x14ac:dyDescent="0.3">
      <c r="A9" s="56">
        <v>0</v>
      </c>
      <c r="B9" s="57">
        <v>0</v>
      </c>
      <c r="C9" s="57">
        <v>4</v>
      </c>
      <c r="D9" s="58">
        <v>4</v>
      </c>
      <c r="E9" s="66">
        <f t="shared" si="0"/>
        <v>0</v>
      </c>
      <c r="F9" s="67">
        <f t="shared" si="1"/>
        <v>0</v>
      </c>
      <c r="G9" s="57">
        <f t="shared" si="2"/>
        <v>1</v>
      </c>
      <c r="H9" s="56">
        <v>2</v>
      </c>
      <c r="I9" s="57">
        <v>0</v>
      </c>
      <c r="J9" s="57">
        <v>2</v>
      </c>
      <c r="K9" s="58">
        <v>4</v>
      </c>
      <c r="L9" s="66" t="str">
        <f t="shared" si="3"/>
        <v>N/A</v>
      </c>
      <c r="M9" s="67">
        <f t="shared" si="4"/>
        <v>2</v>
      </c>
      <c r="N9" s="58" t="str">
        <f t="shared" si="5"/>
        <v>Vertical</v>
      </c>
      <c r="O9" s="7">
        <f t="shared" si="6"/>
        <v>2</v>
      </c>
      <c r="P9" s="7">
        <f t="shared" si="7"/>
        <v>2</v>
      </c>
      <c r="R9" s="7" t="s">
        <v>370</v>
      </c>
      <c r="V9" s="66" t="str">
        <f t="shared" si="8"/>
        <v>[TestCase(0, 0, 4, 4, 2, 0, 2, 4, 2, 2)]  // Sloped-Vertical</v>
      </c>
    </row>
    <row r="10" spans="1:22" s="7" customFormat="1" ht="15.6" customHeight="1" x14ac:dyDescent="0.3">
      <c r="A10" s="56">
        <v>0</v>
      </c>
      <c r="B10" s="57">
        <v>0</v>
      </c>
      <c r="C10" s="57">
        <v>4</v>
      </c>
      <c r="D10" s="58">
        <v>4</v>
      </c>
      <c r="E10" s="66">
        <f t="shared" si="0"/>
        <v>0</v>
      </c>
      <c r="F10" s="67">
        <f t="shared" si="1"/>
        <v>0</v>
      </c>
      <c r="G10" s="57">
        <f t="shared" si="2"/>
        <v>1</v>
      </c>
      <c r="H10" s="56">
        <v>0</v>
      </c>
      <c r="I10" s="57">
        <v>2</v>
      </c>
      <c r="J10" s="57">
        <v>4</v>
      </c>
      <c r="K10" s="58">
        <v>2</v>
      </c>
      <c r="L10" s="66">
        <f t="shared" si="3"/>
        <v>2</v>
      </c>
      <c r="M10" s="67" t="str">
        <f t="shared" si="4"/>
        <v>N/A</v>
      </c>
      <c r="N10" s="58">
        <f t="shared" si="5"/>
        <v>0</v>
      </c>
      <c r="O10" s="7">
        <f t="shared" si="6"/>
        <v>2</v>
      </c>
      <c r="P10" s="7">
        <f t="shared" si="7"/>
        <v>2</v>
      </c>
      <c r="R10" s="7" t="s">
        <v>371</v>
      </c>
      <c r="V10" s="66" t="str">
        <f t="shared" si="8"/>
        <v>[TestCase(0, 0, 4, 4, 0, 2, 4, 2, 2, 2)]  // Sloped-Horizontal</v>
      </c>
    </row>
    <row r="11" spans="1:22" s="7" customFormat="1" x14ac:dyDescent="0.3">
      <c r="A11" s="56">
        <v>0</v>
      </c>
      <c r="B11" s="57">
        <v>0</v>
      </c>
      <c r="C11" s="57">
        <v>-4</v>
      </c>
      <c r="D11" s="58">
        <v>4</v>
      </c>
      <c r="E11" s="66">
        <f t="shared" si="0"/>
        <v>0</v>
      </c>
      <c r="F11" s="67">
        <f t="shared" si="1"/>
        <v>0</v>
      </c>
      <c r="G11" s="57">
        <f t="shared" si="2"/>
        <v>-1</v>
      </c>
      <c r="H11" s="56">
        <v>-1</v>
      </c>
      <c r="I11" s="57">
        <v>0</v>
      </c>
      <c r="J11" s="57">
        <v>-3</v>
      </c>
      <c r="K11" s="58">
        <v>4</v>
      </c>
      <c r="L11" s="66">
        <f t="shared" si="3"/>
        <v>-2</v>
      </c>
      <c r="M11" s="67">
        <f t="shared" si="4"/>
        <v>-1</v>
      </c>
      <c r="N11" s="58">
        <f t="shared" si="5"/>
        <v>-2</v>
      </c>
      <c r="O11" s="7">
        <f t="shared" si="6"/>
        <v>-2</v>
      </c>
      <c r="P11" s="7">
        <f t="shared" si="7"/>
        <v>2</v>
      </c>
      <c r="R11" s="7" t="s">
        <v>407</v>
      </c>
      <c r="V11" s="66" t="str">
        <f t="shared" si="8"/>
        <v>[TestCase(0, 0, -4, 4, -1, 0, -3, 4, -2, 2)]  // Sloped-Sloped</v>
      </c>
    </row>
    <row r="12" spans="1:22" s="7" customFormat="1" x14ac:dyDescent="0.3">
      <c r="A12" s="56">
        <v>1</v>
      </c>
      <c r="B12" s="57">
        <v>1</v>
      </c>
      <c r="C12" s="57">
        <v>4</v>
      </c>
      <c r="D12" s="58">
        <v>3</v>
      </c>
      <c r="E12" s="66">
        <f t="shared" ref="E12:E19" si="9">IF(G12="Vertical","N/A",D12-G12*C12)</f>
        <v>0.33333333333333348</v>
      </c>
      <c r="F12" s="67">
        <f t="shared" ref="F12:F19" si="10">IF(G12="Vertical",C12,IF(G12=0,"N/A",C12-D12/G12))</f>
        <v>-0.5</v>
      </c>
      <c r="G12" s="57">
        <f t="shared" si="2"/>
        <v>0.66666666666666663</v>
      </c>
      <c r="H12" s="56">
        <v>7</v>
      </c>
      <c r="I12" s="57">
        <v>6</v>
      </c>
      <c r="J12" s="57">
        <v>10</v>
      </c>
      <c r="K12" s="58">
        <v>9</v>
      </c>
      <c r="L12" s="66">
        <f t="shared" si="3"/>
        <v>-1</v>
      </c>
      <c r="M12" s="67">
        <f t="shared" si="4"/>
        <v>1</v>
      </c>
      <c r="N12" s="58">
        <f t="shared" si="5"/>
        <v>1</v>
      </c>
      <c r="O12" s="7">
        <f t="shared" si="6"/>
        <v>4</v>
      </c>
      <c r="P12" s="7">
        <f t="shared" si="7"/>
        <v>3</v>
      </c>
      <c r="R12" s="7" t="s">
        <v>407</v>
      </c>
      <c r="V12" s="66" t="str">
        <f t="shared" si="8"/>
        <v>[TestCase(1, 1, 4, 3, 7, 6, 10, 9, 4, 3)]  // Sloped-Sloped</v>
      </c>
    </row>
    <row r="13" spans="1:22" s="7" customFormat="1" x14ac:dyDescent="0.3">
      <c r="A13" s="56">
        <v>1</v>
      </c>
      <c r="B13" s="57">
        <v>1</v>
      </c>
      <c r="C13" s="57">
        <v>4</v>
      </c>
      <c r="D13" s="58">
        <v>3</v>
      </c>
      <c r="E13" s="66">
        <f t="shared" si="9"/>
        <v>0.33333333333333348</v>
      </c>
      <c r="F13" s="67">
        <f t="shared" si="10"/>
        <v>-0.5</v>
      </c>
      <c r="G13" s="57">
        <f t="shared" si="2"/>
        <v>0.66666666666666663</v>
      </c>
      <c r="H13" s="56">
        <v>9</v>
      </c>
      <c r="I13" s="57">
        <v>6</v>
      </c>
      <c r="J13" s="57">
        <v>12</v>
      </c>
      <c r="K13" s="58">
        <v>9</v>
      </c>
      <c r="L13" s="66">
        <f t="shared" si="3"/>
        <v>-3</v>
      </c>
      <c r="M13" s="67">
        <f t="shared" si="4"/>
        <v>3</v>
      </c>
      <c r="N13" s="58">
        <f t="shared" si="5"/>
        <v>1</v>
      </c>
      <c r="O13" s="7">
        <f t="shared" si="6"/>
        <v>10</v>
      </c>
      <c r="P13" s="7">
        <f t="shared" si="7"/>
        <v>7</v>
      </c>
      <c r="R13" s="7" t="s">
        <v>407</v>
      </c>
      <c r="V13" s="66" t="str">
        <f t="shared" si="8"/>
        <v>[TestCase(1, 1, 4, 3, 9, 6, 12, 9, 10, 7)]  // Sloped-Sloped</v>
      </c>
    </row>
    <row r="14" spans="1:22" s="7" customFormat="1" x14ac:dyDescent="0.3">
      <c r="A14" s="56">
        <v>1</v>
      </c>
      <c r="B14" s="57">
        <v>2</v>
      </c>
      <c r="C14" s="57">
        <v>1</v>
      </c>
      <c r="D14" s="58">
        <v>3</v>
      </c>
      <c r="E14" s="66" t="str">
        <f t="shared" si="9"/>
        <v>N/A</v>
      </c>
      <c r="F14" s="67">
        <f t="shared" si="10"/>
        <v>1</v>
      </c>
      <c r="G14" s="57" t="str">
        <f t="shared" si="2"/>
        <v>Vertical</v>
      </c>
      <c r="H14" s="56">
        <v>1</v>
      </c>
      <c r="I14" s="57">
        <v>4</v>
      </c>
      <c r="J14" s="57">
        <v>1</v>
      </c>
      <c r="K14" s="58">
        <v>5</v>
      </c>
      <c r="L14" s="66" t="str">
        <f t="shared" si="3"/>
        <v>N/A</v>
      </c>
      <c r="M14" s="67">
        <f t="shared" si="4"/>
        <v>1</v>
      </c>
      <c r="N14" s="58" t="str">
        <f t="shared" si="5"/>
        <v>Vertical</v>
      </c>
      <c r="O14" s="7">
        <f t="shared" si="6"/>
        <v>1</v>
      </c>
      <c r="P14" s="7" t="e">
        <f t="shared" si="7"/>
        <v>#VALUE!</v>
      </c>
      <c r="R14" s="7" t="s">
        <v>404</v>
      </c>
      <c r="V14" s="73" t="str">
        <f>"[TestCase("&amp;A14&amp;", "&amp;B14&amp;", "&amp;C14&amp;", "&amp;D14&amp;", "&amp;H14&amp;", "&amp;I14&amp;", "&amp;J14&amp;", "&amp;K14&amp;", "&amp;"true)]  // " &amp; R14</f>
        <v>[TestCase(1, 2, 1, 3, 1, 4, 1, 5, true)]  // Vertical-Vertical Tangent</v>
      </c>
    </row>
    <row r="15" spans="1:22" s="7" customFormat="1" ht="13.8" customHeight="1" x14ac:dyDescent="0.3">
      <c r="A15" s="56">
        <v>1</v>
      </c>
      <c r="B15" s="57">
        <v>1</v>
      </c>
      <c r="C15" s="57">
        <v>3</v>
      </c>
      <c r="D15" s="58">
        <v>1</v>
      </c>
      <c r="E15" s="66">
        <f t="shared" si="9"/>
        <v>1</v>
      </c>
      <c r="F15" s="67" t="str">
        <f t="shared" si="10"/>
        <v>N/A</v>
      </c>
      <c r="G15" s="57">
        <f t="shared" si="2"/>
        <v>0</v>
      </c>
      <c r="H15" s="56">
        <v>4</v>
      </c>
      <c r="I15" s="57">
        <v>1</v>
      </c>
      <c r="J15" s="57">
        <v>6</v>
      </c>
      <c r="K15" s="58">
        <v>1</v>
      </c>
      <c r="L15" s="66">
        <f t="shared" si="3"/>
        <v>1</v>
      </c>
      <c r="M15" s="67" t="str">
        <f t="shared" si="4"/>
        <v>N/A</v>
      </c>
      <c r="N15" s="58">
        <f t="shared" si="5"/>
        <v>0</v>
      </c>
      <c r="O15" s="7" t="e">
        <f t="shared" si="6"/>
        <v>#DIV/0!</v>
      </c>
      <c r="P15" s="7" t="e">
        <f t="shared" si="7"/>
        <v>#DIV/0!</v>
      </c>
      <c r="R15" s="7" t="s">
        <v>405</v>
      </c>
      <c r="V15" s="73" t="str">
        <f t="shared" ref="V15:V19" si="11">"[TestCase("&amp;A15&amp;", "&amp;B15&amp;", "&amp;C15&amp;", "&amp;D15&amp;", "&amp;H15&amp;", "&amp;I15&amp;", "&amp;J15&amp;", "&amp;K15&amp;", "&amp;"true)]  // " &amp; R15</f>
        <v>[TestCase(1, 1, 3, 1, 4, 1, 6, 1, true)]  // Horizontal-Horizontal Tangent</v>
      </c>
    </row>
    <row r="16" spans="1:22" s="7" customFormat="1" ht="13.8" customHeight="1" x14ac:dyDescent="0.3">
      <c r="A16" s="56">
        <v>1</v>
      </c>
      <c r="B16" s="67">
        <v>1</v>
      </c>
      <c r="C16" s="67">
        <v>4</v>
      </c>
      <c r="D16" s="58">
        <v>3</v>
      </c>
      <c r="E16" s="66">
        <f t="shared" si="9"/>
        <v>0.33333333333333348</v>
      </c>
      <c r="F16" s="67">
        <f t="shared" si="10"/>
        <v>-0.5</v>
      </c>
      <c r="G16" s="67">
        <f t="shared" si="2"/>
        <v>0.66666666666666663</v>
      </c>
      <c r="H16" s="56">
        <v>7</v>
      </c>
      <c r="I16" s="67">
        <v>5</v>
      </c>
      <c r="J16" s="67">
        <v>10</v>
      </c>
      <c r="K16" s="58">
        <v>7</v>
      </c>
      <c r="L16" s="66">
        <f t="shared" si="3"/>
        <v>0.33333333333333393</v>
      </c>
      <c r="M16" s="67">
        <f t="shared" si="4"/>
        <v>-0.5</v>
      </c>
      <c r="N16" s="58">
        <f t="shared" si="5"/>
        <v>0.66666666666666663</v>
      </c>
      <c r="O16" s="7" t="e">
        <f t="shared" si="6"/>
        <v>#DIV/0!</v>
      </c>
      <c r="P16" s="7" t="e">
        <f t="shared" si="7"/>
        <v>#DIV/0!</v>
      </c>
      <c r="R16" s="7" t="s">
        <v>409</v>
      </c>
      <c r="V16" s="73" t="str">
        <f t="shared" si="11"/>
        <v>[TestCase(1, 1, 4, 3, 7, 5, 10, 7, true)]  // Sloped-Sloped Tangent</v>
      </c>
    </row>
    <row r="17" spans="1:34" s="7" customFormat="1" x14ac:dyDescent="0.3">
      <c r="A17" s="56">
        <v>5</v>
      </c>
      <c r="B17" s="57">
        <v>1</v>
      </c>
      <c r="C17" s="57">
        <v>7</v>
      </c>
      <c r="D17" s="58">
        <v>1</v>
      </c>
      <c r="E17" s="66">
        <f t="shared" si="9"/>
        <v>1</v>
      </c>
      <c r="F17" s="67" t="str">
        <f t="shared" si="10"/>
        <v>N/A</v>
      </c>
      <c r="G17" s="57">
        <f t="shared" si="2"/>
        <v>0</v>
      </c>
      <c r="H17" s="56">
        <v>6</v>
      </c>
      <c r="I17" s="57">
        <v>2</v>
      </c>
      <c r="J17" s="57">
        <v>8</v>
      </c>
      <c r="K17" s="58">
        <v>2</v>
      </c>
      <c r="L17" s="66">
        <f t="shared" si="3"/>
        <v>2</v>
      </c>
      <c r="M17" s="67" t="str">
        <f t="shared" si="4"/>
        <v>N/A</v>
      </c>
      <c r="N17" s="58">
        <f t="shared" si="5"/>
        <v>0</v>
      </c>
      <c r="O17" s="7" t="e">
        <f t="shared" si="6"/>
        <v>#DIV/0!</v>
      </c>
      <c r="P17" s="7" t="e">
        <f t="shared" si="7"/>
        <v>#DIV/0!</v>
      </c>
      <c r="R17" s="7" t="s">
        <v>406</v>
      </c>
      <c r="V17" s="73" t="str">
        <f t="shared" si="11"/>
        <v>[TestCase(5, 1, 7, 1, 6, 2, 8, 2, true)]  // Horizontal-Horizontal Parallel</v>
      </c>
    </row>
    <row r="18" spans="1:34" s="7" customFormat="1" x14ac:dyDescent="0.3">
      <c r="A18" s="56">
        <v>1</v>
      </c>
      <c r="B18" s="57">
        <v>2</v>
      </c>
      <c r="C18" s="57">
        <v>1</v>
      </c>
      <c r="D18" s="58">
        <v>3</v>
      </c>
      <c r="E18" s="66" t="str">
        <f t="shared" si="9"/>
        <v>N/A</v>
      </c>
      <c r="F18" s="67">
        <f t="shared" si="10"/>
        <v>1</v>
      </c>
      <c r="G18" s="57" t="str">
        <f t="shared" si="2"/>
        <v>Vertical</v>
      </c>
      <c r="H18" s="56">
        <v>2</v>
      </c>
      <c r="I18" s="57">
        <v>3</v>
      </c>
      <c r="J18" s="57">
        <v>2</v>
      </c>
      <c r="K18" s="58">
        <v>4</v>
      </c>
      <c r="L18" s="66" t="str">
        <f t="shared" si="3"/>
        <v>N/A</v>
      </c>
      <c r="M18" s="67">
        <f t="shared" si="4"/>
        <v>2</v>
      </c>
      <c r="N18" s="58" t="str">
        <f t="shared" si="5"/>
        <v>Vertical</v>
      </c>
      <c r="O18" s="7">
        <f t="shared" si="6"/>
        <v>1</v>
      </c>
      <c r="P18" s="7" t="e">
        <f t="shared" si="7"/>
        <v>#VALUE!</v>
      </c>
      <c r="R18" s="7" t="s">
        <v>403</v>
      </c>
      <c r="V18" s="73" t="str">
        <f t="shared" si="11"/>
        <v>[TestCase(1, 2, 1, 3, 2, 3, 2, 4, true)]  // Vertical-Vertical Parallel</v>
      </c>
    </row>
    <row r="19" spans="1:34" s="7" customFormat="1" x14ac:dyDescent="0.3">
      <c r="A19" s="68">
        <v>1</v>
      </c>
      <c r="B19" s="67">
        <v>1</v>
      </c>
      <c r="C19" s="67">
        <v>4</v>
      </c>
      <c r="D19" s="69">
        <v>3</v>
      </c>
      <c r="E19" s="66">
        <f t="shared" si="9"/>
        <v>0.33333333333333348</v>
      </c>
      <c r="F19" s="67">
        <f t="shared" si="10"/>
        <v>-0.5</v>
      </c>
      <c r="G19" s="67">
        <f t="shared" si="2"/>
        <v>0.66666666666666663</v>
      </c>
      <c r="H19" s="68">
        <v>9</v>
      </c>
      <c r="I19" s="67">
        <v>5</v>
      </c>
      <c r="J19" s="67">
        <v>12</v>
      </c>
      <c r="K19" s="69">
        <v>7</v>
      </c>
      <c r="L19" s="66">
        <f t="shared" si="3"/>
        <v>-1</v>
      </c>
      <c r="M19" s="67">
        <f t="shared" si="4"/>
        <v>1.5</v>
      </c>
      <c r="N19" s="69">
        <f t="shared" si="5"/>
        <v>0.66666666666666663</v>
      </c>
      <c r="O19" s="7" t="e">
        <f t="shared" si="6"/>
        <v>#DIV/0!</v>
      </c>
      <c r="P19" s="7" t="e">
        <f t="shared" si="7"/>
        <v>#DIV/0!</v>
      </c>
      <c r="R19" s="7" t="s">
        <v>408</v>
      </c>
      <c r="V19" s="73" t="str">
        <f t="shared" si="11"/>
        <v>[TestCase(1, 1, 4, 3, 9, 5, 12, 7, true)]  // Sloped-Sloped Parallel</v>
      </c>
    </row>
    <row r="20" spans="1:34" s="7" customFormat="1" x14ac:dyDescent="0.3"/>
    <row r="21" spans="1:34" s="2" customFormat="1" x14ac:dyDescent="0.3">
      <c r="A21" s="2" t="s">
        <v>347</v>
      </c>
    </row>
    <row r="22" spans="1:34" s="4" customFormat="1" x14ac:dyDescent="0.3">
      <c r="A22" s="131" t="s">
        <v>422</v>
      </c>
      <c r="B22" s="132"/>
      <c r="C22" s="132"/>
      <c r="D22" s="133"/>
      <c r="E22" s="131" t="s">
        <v>423</v>
      </c>
      <c r="F22" s="132"/>
      <c r="G22" s="132"/>
      <c r="H22" s="133"/>
      <c r="I22" s="131" t="s">
        <v>247</v>
      </c>
      <c r="J22" s="132"/>
      <c r="K22" s="133"/>
      <c r="P22" s="131" t="s">
        <v>410</v>
      </c>
      <c r="Q22" s="132"/>
      <c r="R22" s="132"/>
      <c r="S22" s="132"/>
      <c r="T22" s="60"/>
      <c r="V22" s="72"/>
      <c r="W22" s="132" t="s">
        <v>411</v>
      </c>
      <c r="X22" s="132"/>
      <c r="Y22" s="132"/>
      <c r="Z22" s="132"/>
    </row>
    <row r="23" spans="1:34" s="6" customFormat="1" x14ac:dyDescent="0.3">
      <c r="A23" s="13" t="s">
        <v>125</v>
      </c>
      <c r="B23" s="14" t="s">
        <v>126</v>
      </c>
      <c r="C23" s="14" t="s">
        <v>127</v>
      </c>
      <c r="D23" s="18" t="s">
        <v>128</v>
      </c>
      <c r="E23" s="13" t="s">
        <v>125</v>
      </c>
      <c r="F23" s="14" t="s">
        <v>126</v>
      </c>
      <c r="G23" s="14" t="s">
        <v>127</v>
      </c>
      <c r="H23" s="18" t="s">
        <v>128</v>
      </c>
      <c r="I23" s="13" t="s">
        <v>349</v>
      </c>
      <c r="J23" s="14" t="s">
        <v>350</v>
      </c>
      <c r="K23" s="18" t="s">
        <v>149</v>
      </c>
      <c r="L23" s="6" t="s">
        <v>372</v>
      </c>
      <c r="M23" s="6" t="s">
        <v>373</v>
      </c>
      <c r="N23" s="6" t="s">
        <v>374</v>
      </c>
      <c r="O23" s="6" t="s">
        <v>174</v>
      </c>
      <c r="P23" s="13" t="s">
        <v>125</v>
      </c>
      <c r="Q23" s="14" t="s">
        <v>126</v>
      </c>
      <c r="R23" s="14" t="s">
        <v>127</v>
      </c>
      <c r="S23" s="14" t="s">
        <v>128</v>
      </c>
      <c r="T23" s="18" t="s">
        <v>375</v>
      </c>
      <c r="U23" s="61" t="s">
        <v>412</v>
      </c>
      <c r="V23" s="60" t="s">
        <v>413</v>
      </c>
      <c r="W23" s="14" t="s">
        <v>22</v>
      </c>
      <c r="X23" s="14" t="s">
        <v>23</v>
      </c>
      <c r="Y23" s="14" t="s">
        <v>127</v>
      </c>
      <c r="Z23" s="14" t="s">
        <v>128</v>
      </c>
    </row>
    <row r="24" spans="1:34" x14ac:dyDescent="0.3">
      <c r="A24" s="15">
        <v>0</v>
      </c>
      <c r="B24" s="16">
        <v>10</v>
      </c>
      <c r="C24" s="16">
        <v>10</v>
      </c>
      <c r="D24" s="19">
        <v>0</v>
      </c>
      <c r="E24" s="15">
        <f>A24-I24</f>
        <v>0</v>
      </c>
      <c r="F24" s="16">
        <f>B24-J24</f>
        <v>10</v>
      </c>
      <c r="G24" s="16">
        <f>C24-I24</f>
        <v>10</v>
      </c>
      <c r="H24" s="19">
        <f>D24-J24</f>
        <v>0</v>
      </c>
      <c r="I24" s="15">
        <v>0</v>
      </c>
      <c r="J24" s="16">
        <v>0</v>
      </c>
      <c r="K24" s="19">
        <v>6</v>
      </c>
      <c r="L24">
        <f t="shared" ref="L24:M27" si="12">G24-E24</f>
        <v>10</v>
      </c>
      <c r="M24">
        <f t="shared" si="12"/>
        <v>-10</v>
      </c>
      <c r="N24">
        <f>SQRT(L24^2+M24^2)</f>
        <v>14.142135623730951</v>
      </c>
      <c r="O24">
        <f t="shared" ref="O24:O33" si="13">E24*H24-G24*F24</f>
        <v>-100</v>
      </c>
      <c r="P24" s="15" t="e">
        <f t="shared" ref="P24:P44" si="14">(O24*M24+IF(M24=0,1,SIGN(M24))*L24*SQRT(K24^2*N24^2-O24^2))/N24^2</f>
        <v>#NUM!</v>
      </c>
      <c r="Q24" s="16" t="e">
        <f t="shared" ref="Q24:Q33" si="15">(-O24*L24+ABS(M24)*SQRT(K24^2*N24^2-O24^2))/N24^2</f>
        <v>#NUM!</v>
      </c>
      <c r="R24" s="16" t="e">
        <f>(O24*M24-IF(M24=0,1,SIGN(M24))*L24*SQRT(K24^2*N24^2-O24^2))/N24^2</f>
        <v>#NUM!</v>
      </c>
      <c r="S24" s="16" t="e">
        <f>(-O24*L24-ABS(M24)*SQRT(K24^2*N24^2-O24^2))/N24^2</f>
        <v>#NUM!</v>
      </c>
      <c r="T24" s="19">
        <f t="shared" ref="T24:T44" si="16">K24^2*N24^2-O24^2</f>
        <v>-2799.9999999999991</v>
      </c>
      <c r="U24" s="56">
        <f>I24</f>
        <v>0</v>
      </c>
      <c r="V24" s="58">
        <f>J24</f>
        <v>0</v>
      </c>
      <c r="W24" t="e">
        <f t="shared" ref="W24:W44" si="17">P24+U24</f>
        <v>#NUM!</v>
      </c>
      <c r="X24" t="e">
        <f t="shared" ref="X24:X44" si="18">Q24+V24</f>
        <v>#NUM!</v>
      </c>
      <c r="Y24" t="e">
        <f>R24+U24</f>
        <v>#NUM!</v>
      </c>
      <c r="Z24" t="e">
        <f>S24+V24</f>
        <v>#NUM!</v>
      </c>
      <c r="AB24" t="s">
        <v>377</v>
      </c>
      <c r="AH24" s="73" t="str">
        <f>"[TestCase("&amp;A24&amp;", "&amp;B24&amp;", "&amp;C24&amp;", "&amp;D24&amp;", "&amp;I24&amp;", "&amp;J24&amp;", "&amp;K24&amp;", false)]  // " &amp; AB24</f>
        <v>[TestCase(0, 10, 10, 0, 0, 0, 6, false)]  // No Intersection</v>
      </c>
    </row>
    <row r="25" spans="1:34" x14ac:dyDescent="0.3">
      <c r="A25" s="15">
        <v>5</v>
      </c>
      <c r="B25" s="16">
        <v>16</v>
      </c>
      <c r="C25" s="16">
        <v>15</v>
      </c>
      <c r="D25" s="19">
        <v>6</v>
      </c>
      <c r="E25" s="15">
        <f>A25-I25</f>
        <v>0</v>
      </c>
      <c r="F25" s="16">
        <f>B25-J25</f>
        <v>10</v>
      </c>
      <c r="G25" s="16">
        <f>C25-I25</f>
        <v>10</v>
      </c>
      <c r="H25" s="19">
        <f>D25-J25</f>
        <v>0</v>
      </c>
      <c r="I25" s="15">
        <v>5</v>
      </c>
      <c r="J25" s="16">
        <v>6</v>
      </c>
      <c r="K25" s="19">
        <v>6</v>
      </c>
      <c r="L25">
        <f t="shared" si="12"/>
        <v>10</v>
      </c>
      <c r="M25">
        <f t="shared" si="12"/>
        <v>-10</v>
      </c>
      <c r="N25">
        <f>SQRT(L25^2+M25^2)</f>
        <v>14.142135623730951</v>
      </c>
      <c r="O25">
        <f t="shared" si="13"/>
        <v>-100</v>
      </c>
      <c r="P25" s="15" t="e">
        <f t="shared" si="14"/>
        <v>#NUM!</v>
      </c>
      <c r="Q25" s="16" t="e">
        <f t="shared" si="15"/>
        <v>#NUM!</v>
      </c>
      <c r="R25" s="16" t="e">
        <f>(O25*M25-IF(M25=0,1,SIGN(M25))*L25*SQRT(K25^2*N25^2-O25^2))/N25^2</f>
        <v>#NUM!</v>
      </c>
      <c r="S25" s="16" t="e">
        <f>(-O25*L25-ABS(M25)*SQRT(K25^2*N25^2-O25^2))/N25^2</f>
        <v>#NUM!</v>
      </c>
      <c r="T25" s="19">
        <f t="shared" si="16"/>
        <v>-2799.9999999999991</v>
      </c>
      <c r="U25" s="56">
        <f>I25</f>
        <v>5</v>
      </c>
      <c r="V25" s="58">
        <f>J25</f>
        <v>6</v>
      </c>
      <c r="W25" t="e">
        <f t="shared" si="17"/>
        <v>#NUM!</v>
      </c>
      <c r="X25" t="e">
        <f t="shared" si="18"/>
        <v>#NUM!</v>
      </c>
      <c r="Y25" t="e">
        <f>R25+U25</f>
        <v>#NUM!</v>
      </c>
      <c r="Z25" t="e">
        <f>S25+V25</f>
        <v>#NUM!</v>
      </c>
      <c r="AB25" t="s">
        <v>415</v>
      </c>
      <c r="AH25" s="73" t="str">
        <f>"[TestCase("&amp;A25&amp;", "&amp;B25&amp;", "&amp;C25&amp;", "&amp;D25&amp;", "&amp;I25&amp;", "&amp;J25&amp;", "&amp;K25&amp;", false)]  // " &amp; AB25</f>
        <v>[TestCase(5, 16, 15, 6, 5, 6, 6, false)]  // No Intersection in translated coordinates</v>
      </c>
    </row>
    <row r="26" spans="1:34" x14ac:dyDescent="0.3">
      <c r="A26" s="15">
        <v>6</v>
      </c>
      <c r="B26" s="16">
        <v>6</v>
      </c>
      <c r="C26" s="16">
        <v>6</v>
      </c>
      <c r="D26" s="19">
        <v>-6</v>
      </c>
      <c r="E26" s="15">
        <f t="shared" ref="E26:E44" si="19">A26-I26</f>
        <v>6</v>
      </c>
      <c r="F26" s="16">
        <f t="shared" ref="F26:F44" si="20">B26-J26</f>
        <v>6</v>
      </c>
      <c r="G26" s="16">
        <f t="shared" ref="G26:G44" si="21">C26-I26</f>
        <v>6</v>
      </c>
      <c r="H26" s="19">
        <f t="shared" ref="H26:H44" si="22">D26-J26</f>
        <v>-6</v>
      </c>
      <c r="I26" s="15">
        <v>0</v>
      </c>
      <c r="J26" s="16">
        <v>0</v>
      </c>
      <c r="K26" s="19">
        <v>6</v>
      </c>
      <c r="L26">
        <f t="shared" si="12"/>
        <v>0</v>
      </c>
      <c r="M26">
        <f t="shared" si="12"/>
        <v>-12</v>
      </c>
      <c r="N26">
        <f>SQRT(L26^2+M26^2)</f>
        <v>12</v>
      </c>
      <c r="O26">
        <f t="shared" si="13"/>
        <v>-72</v>
      </c>
      <c r="P26" s="15">
        <f t="shared" si="14"/>
        <v>6</v>
      </c>
      <c r="Q26" s="16">
        <f t="shared" si="15"/>
        <v>0</v>
      </c>
      <c r="R26" s="16">
        <f t="shared" ref="R26:R43" si="23">(O26*M26-IF(M26=0,1,SIGN(M26))*L26*SQRT(K26^2*N26^2-O26^2))/N26^2</f>
        <v>6</v>
      </c>
      <c r="S26" s="16">
        <f t="shared" ref="S26:S44" si="24">(-O26*L26-ABS(M26)*SQRT(K26^2*N26^2-O26^2))/N26^2</f>
        <v>0</v>
      </c>
      <c r="T26" s="19">
        <f t="shared" si="16"/>
        <v>0</v>
      </c>
      <c r="U26" s="56">
        <f t="shared" ref="U26:U44" si="25">I26</f>
        <v>0</v>
      </c>
      <c r="V26" s="58">
        <f t="shared" ref="V26:V44" si="26">J26</f>
        <v>0</v>
      </c>
      <c r="W26">
        <f t="shared" si="17"/>
        <v>6</v>
      </c>
      <c r="X26">
        <f t="shared" si="18"/>
        <v>0</v>
      </c>
      <c r="Y26">
        <f t="shared" ref="Y26:Y44" si="27">R26+U26</f>
        <v>6</v>
      </c>
      <c r="Z26">
        <f t="shared" ref="Z26:Z44" si="28">S26+V26</f>
        <v>0</v>
      </c>
      <c r="AB26" t="s">
        <v>387</v>
      </c>
      <c r="AH26" s="74" t="str">
        <f>"[TestCase("&amp;A26&amp;", "&amp;B26&amp;", "&amp;C26&amp;", "&amp;D26&amp;", "&amp;I26&amp;", "&amp;J26&amp;", "&amp;K26&amp;", "&amp;W26&amp;", "&amp;X26&amp;")]  // " &amp; AB26</f>
        <v>[TestCase(6, 6, 6, -6, 0, 0, 6, 6, 0)]  // Vertical Tangent at +x</v>
      </c>
    </row>
    <row r="27" spans="1:34" x14ac:dyDescent="0.3">
      <c r="A27" s="15">
        <v>-6</v>
      </c>
      <c r="B27" s="16">
        <v>6</v>
      </c>
      <c r="C27" s="16">
        <v>-6</v>
      </c>
      <c r="D27" s="19">
        <v>-6</v>
      </c>
      <c r="E27" s="15">
        <f t="shared" si="19"/>
        <v>-6</v>
      </c>
      <c r="F27" s="16">
        <f t="shared" si="20"/>
        <v>6</v>
      </c>
      <c r="G27" s="16">
        <f t="shared" si="21"/>
        <v>-6</v>
      </c>
      <c r="H27" s="19">
        <f t="shared" si="22"/>
        <v>-6</v>
      </c>
      <c r="I27" s="15">
        <v>0</v>
      </c>
      <c r="J27" s="16">
        <v>0</v>
      </c>
      <c r="K27" s="19">
        <v>6</v>
      </c>
      <c r="L27">
        <f t="shared" si="12"/>
        <v>0</v>
      </c>
      <c r="M27">
        <f t="shared" si="12"/>
        <v>-12</v>
      </c>
      <c r="N27">
        <f>SQRT(L27^2+M27^2)</f>
        <v>12</v>
      </c>
      <c r="O27">
        <f t="shared" si="13"/>
        <v>72</v>
      </c>
      <c r="P27" s="15">
        <f t="shared" si="14"/>
        <v>-6</v>
      </c>
      <c r="Q27" s="16">
        <f t="shared" si="15"/>
        <v>0</v>
      </c>
      <c r="R27" s="16">
        <f t="shared" si="23"/>
        <v>-6</v>
      </c>
      <c r="S27" s="16">
        <f t="shared" si="24"/>
        <v>0</v>
      </c>
      <c r="T27" s="19">
        <f t="shared" si="16"/>
        <v>0</v>
      </c>
      <c r="U27" s="56">
        <f t="shared" si="25"/>
        <v>0</v>
      </c>
      <c r="V27" s="58">
        <f t="shared" si="26"/>
        <v>0</v>
      </c>
      <c r="W27">
        <f t="shared" si="17"/>
        <v>-6</v>
      </c>
      <c r="X27">
        <f t="shared" si="18"/>
        <v>0</v>
      </c>
      <c r="Y27">
        <f t="shared" si="27"/>
        <v>-6</v>
      </c>
      <c r="Z27">
        <f t="shared" si="28"/>
        <v>0</v>
      </c>
      <c r="AB27" t="s">
        <v>388</v>
      </c>
      <c r="AH27" s="74" t="str">
        <f t="shared" ref="AH27:AH34" si="29">"[TestCase("&amp;A27&amp;", "&amp;B27&amp;", "&amp;C27&amp;", "&amp;D27&amp;", "&amp;I27&amp;", "&amp;J27&amp;", "&amp;K27&amp;", "&amp;W27&amp;", "&amp;X27&amp;")]  // " &amp; AB27</f>
        <v>[TestCase(-6, 6, -6, -6, 0, 0, 6, -6, 0)]  // Vertical Tangent at -x</v>
      </c>
    </row>
    <row r="28" spans="1:34" x14ac:dyDescent="0.3">
      <c r="A28" s="15">
        <v>-6</v>
      </c>
      <c r="B28" s="16">
        <v>6</v>
      </c>
      <c r="C28" s="16">
        <v>6</v>
      </c>
      <c r="D28" s="19">
        <v>6</v>
      </c>
      <c r="E28" s="15">
        <f t="shared" si="19"/>
        <v>-6</v>
      </c>
      <c r="F28" s="16">
        <f t="shared" si="20"/>
        <v>6</v>
      </c>
      <c r="G28" s="16">
        <f t="shared" si="21"/>
        <v>6</v>
      </c>
      <c r="H28" s="19">
        <f t="shared" si="22"/>
        <v>6</v>
      </c>
      <c r="I28" s="15">
        <v>0</v>
      </c>
      <c r="J28" s="16">
        <v>0</v>
      </c>
      <c r="K28" s="19">
        <v>6</v>
      </c>
      <c r="L28">
        <f t="shared" ref="L28:L33" si="30">G28-E28</f>
        <v>12</v>
      </c>
      <c r="M28">
        <f t="shared" ref="M28:M33" si="31">H28-F28</f>
        <v>0</v>
      </c>
      <c r="N28">
        <f t="shared" ref="N28:N33" si="32">SQRT(L28^2+M28^2)</f>
        <v>12</v>
      </c>
      <c r="O28">
        <f t="shared" si="13"/>
        <v>-72</v>
      </c>
      <c r="P28" s="15">
        <f t="shared" si="14"/>
        <v>0</v>
      </c>
      <c r="Q28" s="16">
        <f t="shared" si="15"/>
        <v>6</v>
      </c>
      <c r="R28" s="16">
        <f t="shared" si="23"/>
        <v>0</v>
      </c>
      <c r="S28" s="16">
        <f t="shared" si="24"/>
        <v>6</v>
      </c>
      <c r="T28" s="19">
        <f t="shared" si="16"/>
        <v>0</v>
      </c>
      <c r="U28" s="56">
        <f t="shared" si="25"/>
        <v>0</v>
      </c>
      <c r="V28" s="58">
        <f t="shared" si="26"/>
        <v>0</v>
      </c>
      <c r="W28">
        <f t="shared" si="17"/>
        <v>0</v>
      </c>
      <c r="X28">
        <f t="shared" si="18"/>
        <v>6</v>
      </c>
      <c r="Y28">
        <f t="shared" si="27"/>
        <v>0</v>
      </c>
      <c r="Z28">
        <f t="shared" si="28"/>
        <v>6</v>
      </c>
      <c r="AB28" t="s">
        <v>389</v>
      </c>
      <c r="AH28" s="74" t="str">
        <f t="shared" si="29"/>
        <v>[TestCase(-6, 6, 6, 6, 0, 0, 6, 0, 6)]  // Horizontal Tangent at +y</v>
      </c>
    </row>
    <row r="29" spans="1:34" x14ac:dyDescent="0.3">
      <c r="A29" s="15">
        <v>-6</v>
      </c>
      <c r="B29" s="16">
        <v>-6</v>
      </c>
      <c r="C29" s="16">
        <v>6</v>
      </c>
      <c r="D29" s="19">
        <v>-6</v>
      </c>
      <c r="E29" s="15">
        <f t="shared" si="19"/>
        <v>-6</v>
      </c>
      <c r="F29" s="16">
        <f t="shared" si="20"/>
        <v>-6</v>
      </c>
      <c r="G29" s="16">
        <f t="shared" si="21"/>
        <v>6</v>
      </c>
      <c r="H29" s="19">
        <f t="shared" si="22"/>
        <v>-6</v>
      </c>
      <c r="I29" s="15">
        <v>0</v>
      </c>
      <c r="J29" s="16">
        <v>0</v>
      </c>
      <c r="K29" s="19">
        <v>6</v>
      </c>
      <c r="L29">
        <f t="shared" si="30"/>
        <v>12</v>
      </c>
      <c r="M29">
        <f t="shared" si="31"/>
        <v>0</v>
      </c>
      <c r="N29">
        <f t="shared" si="32"/>
        <v>12</v>
      </c>
      <c r="O29">
        <f t="shared" si="13"/>
        <v>72</v>
      </c>
      <c r="P29" s="15">
        <f t="shared" si="14"/>
        <v>0</v>
      </c>
      <c r="Q29" s="16">
        <f t="shared" si="15"/>
        <v>-6</v>
      </c>
      <c r="R29" s="16">
        <f t="shared" si="23"/>
        <v>0</v>
      </c>
      <c r="S29" s="16">
        <f t="shared" si="24"/>
        <v>-6</v>
      </c>
      <c r="T29" s="19">
        <f t="shared" si="16"/>
        <v>0</v>
      </c>
      <c r="U29" s="56">
        <f t="shared" si="25"/>
        <v>0</v>
      </c>
      <c r="V29" s="58">
        <f t="shared" si="26"/>
        <v>0</v>
      </c>
      <c r="W29">
        <f t="shared" si="17"/>
        <v>0</v>
      </c>
      <c r="X29">
        <f t="shared" si="18"/>
        <v>-6</v>
      </c>
      <c r="Y29">
        <f t="shared" si="27"/>
        <v>0</v>
      </c>
      <c r="Z29">
        <f t="shared" si="28"/>
        <v>-6</v>
      </c>
      <c r="AB29" t="s">
        <v>390</v>
      </c>
      <c r="AH29" s="74" t="str">
        <f t="shared" si="29"/>
        <v>[TestCase(-6, -6, 6, -6, 0, 0, 6, 0, -6)]  // Horizontal Tangent at -y</v>
      </c>
    </row>
    <row r="30" spans="1:34" s="3" customFormat="1" x14ac:dyDescent="0.3">
      <c r="A30" s="15">
        <v>0</v>
      </c>
      <c r="B30" s="16">
        <v>8.4852813742385695</v>
      </c>
      <c r="C30" s="16">
        <v>8.4852813742385713</v>
      </c>
      <c r="D30" s="19">
        <v>0</v>
      </c>
      <c r="E30" s="15">
        <f t="shared" si="19"/>
        <v>0</v>
      </c>
      <c r="F30" s="16">
        <f t="shared" si="20"/>
        <v>8.4852813742385695</v>
      </c>
      <c r="G30" s="16">
        <f t="shared" si="21"/>
        <v>8.4852813742385713</v>
      </c>
      <c r="H30" s="19">
        <f t="shared" si="22"/>
        <v>0</v>
      </c>
      <c r="I30" s="59">
        <v>0</v>
      </c>
      <c r="J30" s="21">
        <v>0</v>
      </c>
      <c r="K30" s="30">
        <v>6</v>
      </c>
      <c r="L30" s="3">
        <f t="shared" si="30"/>
        <v>8.4852813742385713</v>
      </c>
      <c r="M30" s="3">
        <f t="shared" si="31"/>
        <v>-8.4852813742385695</v>
      </c>
      <c r="N30" s="3">
        <f t="shared" si="32"/>
        <v>12</v>
      </c>
      <c r="O30" s="3">
        <f t="shared" si="13"/>
        <v>-72</v>
      </c>
      <c r="P30" s="15">
        <f t="shared" si="14"/>
        <v>4.2426406871192848</v>
      </c>
      <c r="Q30" s="21">
        <f t="shared" si="15"/>
        <v>4.2426406871192857</v>
      </c>
      <c r="R30" s="16">
        <f t="shared" si="23"/>
        <v>4.2426406871192848</v>
      </c>
      <c r="S30" s="16">
        <f t="shared" si="24"/>
        <v>4.2426406871192857</v>
      </c>
      <c r="T30" s="30">
        <f t="shared" si="16"/>
        <v>0</v>
      </c>
      <c r="U30" s="56">
        <f t="shared" si="25"/>
        <v>0</v>
      </c>
      <c r="V30" s="58">
        <f t="shared" si="26"/>
        <v>0</v>
      </c>
      <c r="W30">
        <f t="shared" si="17"/>
        <v>4.2426406871192848</v>
      </c>
      <c r="X30">
        <f t="shared" si="18"/>
        <v>4.2426406871192857</v>
      </c>
      <c r="Y30">
        <f t="shared" si="27"/>
        <v>4.2426406871192848</v>
      </c>
      <c r="Z30">
        <f t="shared" si="28"/>
        <v>4.2426406871192857</v>
      </c>
      <c r="AB30" s="3" t="s">
        <v>416</v>
      </c>
      <c r="AH30" s="74" t="str">
        <f t="shared" si="29"/>
        <v>[TestCase(0, 8.48528137423857, 8.48528137423857, 0, 0, 0, 6, 4.24264068711928, 4.24264068711929)]  // Sloped Tangent in Quadrant 1</v>
      </c>
    </row>
    <row r="31" spans="1:34" s="3" customFormat="1" x14ac:dyDescent="0.3">
      <c r="A31" s="15">
        <v>0</v>
      </c>
      <c r="B31" s="16">
        <v>8.4852813742385695</v>
      </c>
      <c r="C31" s="16">
        <v>-8.4852813742385713</v>
      </c>
      <c r="D31" s="19">
        <v>0</v>
      </c>
      <c r="E31" s="15">
        <f t="shared" si="19"/>
        <v>0</v>
      </c>
      <c r="F31" s="16">
        <f t="shared" si="20"/>
        <v>8.4852813742385695</v>
      </c>
      <c r="G31" s="16">
        <f t="shared" si="21"/>
        <v>-8.4852813742385713</v>
      </c>
      <c r="H31" s="19">
        <f t="shared" si="22"/>
        <v>0</v>
      </c>
      <c r="I31" s="59">
        <v>0</v>
      </c>
      <c r="J31" s="21">
        <v>0</v>
      </c>
      <c r="K31" s="30">
        <v>6</v>
      </c>
      <c r="L31" s="3">
        <f t="shared" si="30"/>
        <v>-8.4852813742385713</v>
      </c>
      <c r="M31" s="3">
        <f t="shared" si="31"/>
        <v>-8.4852813742385695</v>
      </c>
      <c r="N31" s="3">
        <f t="shared" si="32"/>
        <v>12</v>
      </c>
      <c r="O31" s="3">
        <f t="shared" si="13"/>
        <v>72</v>
      </c>
      <c r="P31" s="15">
        <f t="shared" si="14"/>
        <v>-4.2426406871192848</v>
      </c>
      <c r="Q31" s="21">
        <f t="shared" si="15"/>
        <v>4.2426406871192857</v>
      </c>
      <c r="R31" s="16">
        <f t="shared" si="23"/>
        <v>-4.2426406871192848</v>
      </c>
      <c r="S31" s="16">
        <f t="shared" si="24"/>
        <v>4.2426406871192857</v>
      </c>
      <c r="T31" s="30">
        <f t="shared" si="16"/>
        <v>0</v>
      </c>
      <c r="U31" s="56">
        <f t="shared" si="25"/>
        <v>0</v>
      </c>
      <c r="V31" s="58">
        <f t="shared" si="26"/>
        <v>0</v>
      </c>
      <c r="W31">
        <f t="shared" si="17"/>
        <v>-4.2426406871192848</v>
      </c>
      <c r="X31">
        <f t="shared" si="18"/>
        <v>4.2426406871192857</v>
      </c>
      <c r="Y31">
        <f t="shared" si="27"/>
        <v>-4.2426406871192848</v>
      </c>
      <c r="Z31">
        <f t="shared" si="28"/>
        <v>4.2426406871192857</v>
      </c>
      <c r="AB31" s="3" t="s">
        <v>417</v>
      </c>
      <c r="AH31" s="74" t="str">
        <f t="shared" si="29"/>
        <v>[TestCase(0, 8.48528137423857, -8.48528137423857, 0, 0, 0, 6, -4.24264068711928, 4.24264068711929)]  // Sloped Tangent in Quadrant 2</v>
      </c>
    </row>
    <row r="32" spans="1:34" s="3" customFormat="1" x14ac:dyDescent="0.3">
      <c r="A32" s="15">
        <v>0</v>
      </c>
      <c r="B32" s="16">
        <v>-8.4852813742385695</v>
      </c>
      <c r="C32" s="16">
        <v>-8.4852813742385713</v>
      </c>
      <c r="D32" s="19">
        <v>0</v>
      </c>
      <c r="E32" s="15">
        <f t="shared" si="19"/>
        <v>0</v>
      </c>
      <c r="F32" s="16">
        <f t="shared" si="20"/>
        <v>-8.4852813742385695</v>
      </c>
      <c r="G32" s="16">
        <f t="shared" si="21"/>
        <v>-8.4852813742385713</v>
      </c>
      <c r="H32" s="19">
        <f t="shared" si="22"/>
        <v>0</v>
      </c>
      <c r="I32" s="59">
        <v>0</v>
      </c>
      <c r="J32" s="21">
        <v>0</v>
      </c>
      <c r="K32" s="30">
        <v>6</v>
      </c>
      <c r="L32" s="3">
        <f>G32-E32</f>
        <v>-8.4852813742385713</v>
      </c>
      <c r="M32" s="3">
        <f t="shared" si="31"/>
        <v>8.4852813742385695</v>
      </c>
      <c r="N32" s="3">
        <f>SQRT(L32^2+M32^2)</f>
        <v>12</v>
      </c>
      <c r="O32" s="3">
        <f t="shared" si="13"/>
        <v>-72</v>
      </c>
      <c r="P32" s="15">
        <f t="shared" si="14"/>
        <v>-4.2426406871192848</v>
      </c>
      <c r="Q32" s="21">
        <f t="shared" si="15"/>
        <v>-4.2426406871192857</v>
      </c>
      <c r="R32" s="16">
        <f t="shared" si="23"/>
        <v>-4.2426406871192848</v>
      </c>
      <c r="S32" s="16">
        <f t="shared" si="24"/>
        <v>-4.2426406871192857</v>
      </c>
      <c r="T32" s="30">
        <f t="shared" si="16"/>
        <v>0</v>
      </c>
      <c r="U32" s="56">
        <f t="shared" si="25"/>
        <v>0</v>
      </c>
      <c r="V32" s="58">
        <f t="shared" si="26"/>
        <v>0</v>
      </c>
      <c r="W32">
        <f t="shared" si="17"/>
        <v>-4.2426406871192848</v>
      </c>
      <c r="X32">
        <f t="shared" si="18"/>
        <v>-4.2426406871192857</v>
      </c>
      <c r="Y32">
        <f t="shared" si="27"/>
        <v>-4.2426406871192848</v>
      </c>
      <c r="Z32">
        <f t="shared" si="28"/>
        <v>-4.2426406871192857</v>
      </c>
      <c r="AB32" s="3" t="s">
        <v>418</v>
      </c>
      <c r="AH32" s="74" t="str">
        <f t="shared" si="29"/>
        <v>[TestCase(0, -8.48528137423857, -8.48528137423857, 0, 0, 0, 6, -4.24264068711928, -4.24264068711929)]  // Sloped Tangent in Quadrant 3</v>
      </c>
    </row>
    <row r="33" spans="1:34" s="3" customFormat="1" x14ac:dyDescent="0.3">
      <c r="A33" s="15">
        <v>0</v>
      </c>
      <c r="B33" s="16">
        <v>-8.4852813742385695</v>
      </c>
      <c r="C33" s="16">
        <v>8.4852813742385713</v>
      </c>
      <c r="D33" s="19">
        <v>0</v>
      </c>
      <c r="E33" s="15">
        <f t="shared" si="19"/>
        <v>0</v>
      </c>
      <c r="F33" s="16">
        <f t="shared" si="20"/>
        <v>-8.4852813742385695</v>
      </c>
      <c r="G33" s="16">
        <f t="shared" si="21"/>
        <v>8.4852813742385713</v>
      </c>
      <c r="H33" s="19">
        <f t="shared" si="22"/>
        <v>0</v>
      </c>
      <c r="I33" s="59">
        <v>0</v>
      </c>
      <c r="J33" s="21">
        <v>0</v>
      </c>
      <c r="K33" s="30">
        <v>6</v>
      </c>
      <c r="L33" s="3">
        <f t="shared" si="30"/>
        <v>8.4852813742385713</v>
      </c>
      <c r="M33" s="3">
        <f t="shared" si="31"/>
        <v>8.4852813742385695</v>
      </c>
      <c r="N33" s="3">
        <f t="shared" si="32"/>
        <v>12</v>
      </c>
      <c r="O33" s="3">
        <f t="shared" si="13"/>
        <v>72</v>
      </c>
      <c r="P33" s="15">
        <f t="shared" si="14"/>
        <v>4.2426406871192848</v>
      </c>
      <c r="Q33" s="21">
        <f t="shared" si="15"/>
        <v>-4.2426406871192857</v>
      </c>
      <c r="R33" s="16">
        <f t="shared" si="23"/>
        <v>4.2426406871192848</v>
      </c>
      <c r="S33" s="16">
        <f t="shared" si="24"/>
        <v>-4.2426406871192857</v>
      </c>
      <c r="T33" s="30">
        <f t="shared" si="16"/>
        <v>0</v>
      </c>
      <c r="U33" s="56">
        <f t="shared" si="25"/>
        <v>0</v>
      </c>
      <c r="V33" s="58">
        <f t="shared" si="26"/>
        <v>0</v>
      </c>
      <c r="W33">
        <f t="shared" si="17"/>
        <v>4.2426406871192848</v>
      </c>
      <c r="X33">
        <f t="shared" si="18"/>
        <v>-4.2426406871192857</v>
      </c>
      <c r="Y33">
        <f t="shared" si="27"/>
        <v>4.2426406871192848</v>
      </c>
      <c r="Z33">
        <f t="shared" si="28"/>
        <v>-4.2426406871192857</v>
      </c>
      <c r="AB33" s="3" t="s">
        <v>419</v>
      </c>
      <c r="AH33" s="74" t="str">
        <f t="shared" si="29"/>
        <v>[TestCase(0, -8.48528137423857, 8.48528137423857, 0, 0, 0, 6, 4.24264068711928, -4.24264068711929)]  // Sloped Tangent in Quadrant 4</v>
      </c>
    </row>
    <row r="34" spans="1:34" x14ac:dyDescent="0.3">
      <c r="A34" s="15">
        <v>5</v>
      </c>
      <c r="B34" s="16">
        <v>14.48528137423857</v>
      </c>
      <c r="C34" s="16">
        <v>13.485281374238571</v>
      </c>
      <c r="D34" s="19">
        <v>6</v>
      </c>
      <c r="E34" s="15">
        <f>A34-I34</f>
        <v>0</v>
      </c>
      <c r="F34" s="16">
        <f>B34-J34</f>
        <v>8.4852813742385695</v>
      </c>
      <c r="G34" s="16">
        <f>C34-I34</f>
        <v>8.4852813742385713</v>
      </c>
      <c r="H34" s="19">
        <f>D34-J34</f>
        <v>0</v>
      </c>
      <c r="I34" s="15">
        <v>5</v>
      </c>
      <c r="J34" s="16">
        <v>6</v>
      </c>
      <c r="K34" s="19">
        <v>6</v>
      </c>
      <c r="L34">
        <f>G34-E34</f>
        <v>8.4852813742385713</v>
      </c>
      <c r="M34">
        <f>H34-F34</f>
        <v>-8.4852813742385695</v>
      </c>
      <c r="N34">
        <f>SQRT(L34^2+M34^2)</f>
        <v>12</v>
      </c>
      <c r="O34">
        <f t="shared" ref="O34" si="33">E34*H34-G34*F34</f>
        <v>-72</v>
      </c>
      <c r="P34" s="15">
        <f t="shared" si="14"/>
        <v>4.2426406871192848</v>
      </c>
      <c r="Q34" s="16">
        <f t="shared" ref="Q34" si="34">(-O34*L34+ABS(M34)*SQRT(K34^2*N34^2-O34^2))/N34^2</f>
        <v>4.2426406871192857</v>
      </c>
      <c r="R34" s="16">
        <f>(O34*M34-IF(M34=0,1,SIGN(M34))*L34*SQRT(K34^2*N34^2-O34^2))/N34^2</f>
        <v>4.2426406871192848</v>
      </c>
      <c r="S34" s="16">
        <f>(-O34*L34-ABS(M34)*SQRT(K34^2*N34^2-O34^2))/N34^2</f>
        <v>4.2426406871192857</v>
      </c>
      <c r="T34" s="19">
        <f t="shared" si="16"/>
        <v>0</v>
      </c>
      <c r="U34" s="56">
        <f>I34</f>
        <v>5</v>
      </c>
      <c r="V34" s="58">
        <f>J34</f>
        <v>6</v>
      </c>
      <c r="W34">
        <f t="shared" si="17"/>
        <v>9.2426406871192839</v>
      </c>
      <c r="X34">
        <f t="shared" si="18"/>
        <v>10.242640687119286</v>
      </c>
      <c r="Y34">
        <f>R34+U34</f>
        <v>9.2426406871192839</v>
      </c>
      <c r="Z34">
        <f>S34+V34</f>
        <v>10.242640687119286</v>
      </c>
      <c r="AB34" s="3" t="s">
        <v>420</v>
      </c>
      <c r="AH34" s="74" t="str">
        <f t="shared" si="29"/>
        <v>[TestCase(5, 14.4852813742386, 13.4852813742386, 6, 5, 6, 6, 9.24264068711928, 10.2426406871193)]  // Sloped Tangent in Quadrant 1 in translated coordinates</v>
      </c>
    </row>
    <row r="35" spans="1:34" x14ac:dyDescent="0.3">
      <c r="A35" s="15">
        <v>0</v>
      </c>
      <c r="B35" s="16">
        <v>-10</v>
      </c>
      <c r="C35" s="16">
        <v>0</v>
      </c>
      <c r="D35" s="19">
        <v>10</v>
      </c>
      <c r="E35" s="15">
        <f t="shared" si="19"/>
        <v>0</v>
      </c>
      <c r="F35" s="16">
        <f t="shared" si="20"/>
        <v>-10</v>
      </c>
      <c r="G35" s="16">
        <f t="shared" si="21"/>
        <v>0</v>
      </c>
      <c r="H35" s="19">
        <f t="shared" si="22"/>
        <v>10</v>
      </c>
      <c r="I35" s="15">
        <v>0</v>
      </c>
      <c r="J35" s="16">
        <v>0</v>
      </c>
      <c r="K35" s="19">
        <v>6</v>
      </c>
      <c r="L35">
        <f t="shared" ref="L35:L39" si="35">G35-E35</f>
        <v>0</v>
      </c>
      <c r="M35">
        <f t="shared" ref="M35:M39" si="36">H35-F35</f>
        <v>20</v>
      </c>
      <c r="N35">
        <f t="shared" ref="N35:N39" si="37">SQRT(L35^2+M35^2)</f>
        <v>20</v>
      </c>
      <c r="O35">
        <f t="shared" ref="O35:O44" si="38">E35*H35-G35*F35</f>
        <v>0</v>
      </c>
      <c r="P35" s="15">
        <f t="shared" si="14"/>
        <v>0</v>
      </c>
      <c r="Q35" s="16">
        <f t="shared" ref="Q35:Q44" si="39">(-O35*L35+ABS(M35)*SQRT(K35^2*N35^2-O35^2))/N35^2</f>
        <v>6</v>
      </c>
      <c r="R35" s="16">
        <f t="shared" si="23"/>
        <v>0</v>
      </c>
      <c r="S35" s="16">
        <f t="shared" si="24"/>
        <v>-6</v>
      </c>
      <c r="T35" s="19">
        <f t="shared" si="16"/>
        <v>14400</v>
      </c>
      <c r="U35" s="56">
        <f t="shared" si="25"/>
        <v>0</v>
      </c>
      <c r="V35" s="58">
        <f t="shared" si="26"/>
        <v>0</v>
      </c>
      <c r="W35">
        <f t="shared" si="17"/>
        <v>0</v>
      </c>
      <c r="X35">
        <f t="shared" si="18"/>
        <v>6</v>
      </c>
      <c r="Y35">
        <f t="shared" si="27"/>
        <v>0</v>
      </c>
      <c r="Z35">
        <f t="shared" si="28"/>
        <v>-6</v>
      </c>
      <c r="AB35" t="s">
        <v>379</v>
      </c>
      <c r="AH35" s="66" t="str">
        <f t="shared" ref="AH35:AH44" si="40">"[TestCase("&amp;A35&amp;", "&amp;B35&amp;", "&amp;C35&amp;", "&amp;D35&amp;", "&amp;I35&amp;", "&amp;J35&amp;", "&amp;K35&amp;", "&amp;ROUND(W35,6)&amp;", "&amp;ROUND(X35,6)&amp;", "&amp;ROUND(Y35,6)&amp;", "&amp;ROUND(Z35,6)&amp;")]  // " &amp; AB35</f>
        <v>[TestCase(0, -10, 0, 10, 0, 0, 6, 0, 6, 0, -6)]  // Vertical Intersection through origin</v>
      </c>
    </row>
    <row r="36" spans="1:34" x14ac:dyDescent="0.3">
      <c r="A36" s="15">
        <v>-10</v>
      </c>
      <c r="B36" s="16">
        <v>0</v>
      </c>
      <c r="C36" s="16">
        <v>10</v>
      </c>
      <c r="D36" s="19">
        <v>0</v>
      </c>
      <c r="E36" s="15">
        <f t="shared" si="19"/>
        <v>-10</v>
      </c>
      <c r="F36" s="16">
        <f t="shared" si="20"/>
        <v>0</v>
      </c>
      <c r="G36" s="16">
        <f t="shared" si="21"/>
        <v>10</v>
      </c>
      <c r="H36" s="19">
        <f t="shared" si="22"/>
        <v>0</v>
      </c>
      <c r="I36" s="15">
        <v>0</v>
      </c>
      <c r="J36" s="16">
        <v>0</v>
      </c>
      <c r="K36" s="19">
        <v>6</v>
      </c>
      <c r="L36">
        <f t="shared" si="35"/>
        <v>20</v>
      </c>
      <c r="M36">
        <f t="shared" si="36"/>
        <v>0</v>
      </c>
      <c r="N36">
        <f t="shared" si="37"/>
        <v>20</v>
      </c>
      <c r="O36">
        <f t="shared" si="38"/>
        <v>0</v>
      </c>
      <c r="P36" s="15">
        <f t="shared" si="14"/>
        <v>6</v>
      </c>
      <c r="Q36" s="16">
        <f t="shared" si="39"/>
        <v>0</v>
      </c>
      <c r="R36" s="16">
        <f t="shared" si="23"/>
        <v>-6</v>
      </c>
      <c r="S36" s="16">
        <f t="shared" si="24"/>
        <v>0</v>
      </c>
      <c r="T36" s="19">
        <f t="shared" si="16"/>
        <v>14400</v>
      </c>
      <c r="U36" s="56">
        <f t="shared" si="25"/>
        <v>0</v>
      </c>
      <c r="V36" s="58">
        <f t="shared" si="26"/>
        <v>0</v>
      </c>
      <c r="W36">
        <f t="shared" si="17"/>
        <v>6</v>
      </c>
      <c r="X36">
        <f t="shared" si="18"/>
        <v>0</v>
      </c>
      <c r="Y36">
        <f t="shared" si="27"/>
        <v>-6</v>
      </c>
      <c r="Z36">
        <f t="shared" si="28"/>
        <v>0</v>
      </c>
      <c r="AB36" t="s">
        <v>380</v>
      </c>
      <c r="AH36" s="66" t="str">
        <f t="shared" si="40"/>
        <v>[TestCase(-10, 0, 10, 0, 0, 0, 6, 6, 0, -6, 0)]  // Horizontal Intersection through origin</v>
      </c>
    </row>
    <row r="37" spans="1:34" x14ac:dyDescent="0.3">
      <c r="A37" s="15">
        <v>-6</v>
      </c>
      <c r="B37" s="16">
        <v>-6</v>
      </c>
      <c r="C37" s="16">
        <v>6</v>
      </c>
      <c r="D37" s="19">
        <v>6</v>
      </c>
      <c r="E37" s="15">
        <f t="shared" si="19"/>
        <v>-6</v>
      </c>
      <c r="F37" s="16">
        <f t="shared" si="20"/>
        <v>-6</v>
      </c>
      <c r="G37" s="16">
        <f t="shared" si="21"/>
        <v>6</v>
      </c>
      <c r="H37" s="19">
        <f t="shared" si="22"/>
        <v>6</v>
      </c>
      <c r="I37" s="15">
        <v>0</v>
      </c>
      <c r="J37" s="16">
        <v>0</v>
      </c>
      <c r="K37" s="19">
        <v>6</v>
      </c>
      <c r="L37">
        <f>G37-E37</f>
        <v>12</v>
      </c>
      <c r="M37">
        <f>H37-F37</f>
        <v>12</v>
      </c>
      <c r="N37">
        <f>SQRT(L37^2+M37^2)</f>
        <v>16.970562748477139</v>
      </c>
      <c r="O37">
        <f t="shared" si="38"/>
        <v>0</v>
      </c>
      <c r="P37" s="15">
        <f t="shared" si="14"/>
        <v>4.2426406871192857</v>
      </c>
      <c r="Q37" s="16">
        <f t="shared" si="39"/>
        <v>4.2426406871192857</v>
      </c>
      <c r="R37" s="16">
        <f t="shared" si="23"/>
        <v>-4.2426406871192857</v>
      </c>
      <c r="S37" s="16">
        <f t="shared" si="24"/>
        <v>-4.2426406871192857</v>
      </c>
      <c r="T37" s="19">
        <f t="shared" si="16"/>
        <v>10367.999999999998</v>
      </c>
      <c r="U37" s="56">
        <f t="shared" si="25"/>
        <v>0</v>
      </c>
      <c r="V37" s="58">
        <f t="shared" si="26"/>
        <v>0</v>
      </c>
      <c r="W37">
        <f t="shared" si="17"/>
        <v>4.2426406871192857</v>
      </c>
      <c r="X37">
        <f t="shared" si="18"/>
        <v>4.2426406871192857</v>
      </c>
      <c r="Y37">
        <f t="shared" si="27"/>
        <v>-4.2426406871192857</v>
      </c>
      <c r="Z37">
        <f t="shared" si="28"/>
        <v>-4.2426406871192857</v>
      </c>
      <c r="AB37" s="1" t="s">
        <v>378</v>
      </c>
      <c r="AH37" s="66" t="str">
        <f t="shared" si="40"/>
        <v>[TestCase(-6, -6, 6, 6, 0, 0, 6, 4.242641, 4.242641, -4.242641, -4.242641)]  // +Sloped Intersection through origin</v>
      </c>
    </row>
    <row r="38" spans="1:34" x14ac:dyDescent="0.3">
      <c r="A38" s="15">
        <v>-6</v>
      </c>
      <c r="B38" s="16">
        <v>6</v>
      </c>
      <c r="C38" s="16">
        <v>6</v>
      </c>
      <c r="D38" s="19">
        <v>-6</v>
      </c>
      <c r="E38" s="15">
        <f t="shared" si="19"/>
        <v>-6</v>
      </c>
      <c r="F38" s="16">
        <f t="shared" si="20"/>
        <v>6</v>
      </c>
      <c r="G38" s="16">
        <f t="shared" si="21"/>
        <v>6</v>
      </c>
      <c r="H38" s="19">
        <f t="shared" si="22"/>
        <v>-6</v>
      </c>
      <c r="I38" s="15">
        <v>0</v>
      </c>
      <c r="J38" s="16">
        <v>0</v>
      </c>
      <c r="K38" s="19">
        <v>6</v>
      </c>
      <c r="L38">
        <f>G38-E38</f>
        <v>12</v>
      </c>
      <c r="M38">
        <f>H38-F38</f>
        <v>-12</v>
      </c>
      <c r="N38">
        <f>SQRT(L38^2+M38^2)</f>
        <v>16.970562748477139</v>
      </c>
      <c r="O38">
        <f t="shared" si="38"/>
        <v>0</v>
      </c>
      <c r="P38" s="15">
        <f t="shared" si="14"/>
        <v>-4.2426406871192857</v>
      </c>
      <c r="Q38" s="21">
        <f t="shared" si="39"/>
        <v>4.2426406871192857</v>
      </c>
      <c r="R38" s="16">
        <f t="shared" si="23"/>
        <v>4.2426406871192857</v>
      </c>
      <c r="S38" s="16">
        <f t="shared" si="24"/>
        <v>-4.2426406871192857</v>
      </c>
      <c r="T38" s="19">
        <f t="shared" si="16"/>
        <v>10367.999999999998</v>
      </c>
      <c r="U38" s="56">
        <f t="shared" si="25"/>
        <v>0</v>
      </c>
      <c r="V38" s="58">
        <f t="shared" si="26"/>
        <v>0</v>
      </c>
      <c r="W38">
        <f t="shared" si="17"/>
        <v>-4.2426406871192857</v>
      </c>
      <c r="X38">
        <f t="shared" si="18"/>
        <v>4.2426406871192857</v>
      </c>
      <c r="Y38">
        <f t="shared" si="27"/>
        <v>4.2426406871192857</v>
      </c>
      <c r="Z38">
        <f t="shared" si="28"/>
        <v>-4.2426406871192857</v>
      </c>
      <c r="AB38" s="1" t="s">
        <v>382</v>
      </c>
      <c r="AH38" s="66" t="str">
        <f t="shared" si="40"/>
        <v>[TestCase(-6, 6, 6, -6, 0, 0, 6, -4.242641, 4.242641, 4.242641, -4.242641)]  // -Sloped Intersection through origin</v>
      </c>
    </row>
    <row r="39" spans="1:34" x14ac:dyDescent="0.3">
      <c r="A39" s="15">
        <v>3</v>
      </c>
      <c r="B39" s="16">
        <v>-10</v>
      </c>
      <c r="C39" s="16">
        <v>3</v>
      </c>
      <c r="D39" s="19">
        <v>10</v>
      </c>
      <c r="E39" s="15">
        <f t="shared" si="19"/>
        <v>3</v>
      </c>
      <c r="F39" s="16">
        <f t="shared" si="20"/>
        <v>-10</v>
      </c>
      <c r="G39" s="16">
        <f t="shared" si="21"/>
        <v>3</v>
      </c>
      <c r="H39" s="19">
        <f t="shared" si="22"/>
        <v>10</v>
      </c>
      <c r="I39" s="15">
        <v>0</v>
      </c>
      <c r="J39" s="16">
        <v>0</v>
      </c>
      <c r="K39" s="19">
        <v>6</v>
      </c>
      <c r="L39">
        <f t="shared" si="35"/>
        <v>0</v>
      </c>
      <c r="M39">
        <f t="shared" si="36"/>
        <v>20</v>
      </c>
      <c r="N39">
        <f t="shared" si="37"/>
        <v>20</v>
      </c>
      <c r="O39">
        <f t="shared" si="38"/>
        <v>60</v>
      </c>
      <c r="P39" s="15">
        <f t="shared" si="14"/>
        <v>3</v>
      </c>
      <c r="Q39" s="16">
        <f t="shared" si="39"/>
        <v>5.196152422706632</v>
      </c>
      <c r="R39" s="16">
        <f t="shared" si="23"/>
        <v>3</v>
      </c>
      <c r="S39" s="16">
        <f t="shared" si="24"/>
        <v>-5.196152422706632</v>
      </c>
      <c r="T39" s="19">
        <f t="shared" si="16"/>
        <v>10800</v>
      </c>
      <c r="U39" s="56">
        <f t="shared" si="25"/>
        <v>0</v>
      </c>
      <c r="V39" s="58">
        <f t="shared" si="26"/>
        <v>0</v>
      </c>
      <c r="W39">
        <f t="shared" si="17"/>
        <v>3</v>
      </c>
      <c r="X39">
        <f t="shared" si="18"/>
        <v>5.196152422706632</v>
      </c>
      <c r="Y39">
        <f t="shared" si="27"/>
        <v>3</v>
      </c>
      <c r="Z39">
        <f t="shared" si="28"/>
        <v>-5.196152422706632</v>
      </c>
      <c r="AB39" t="s">
        <v>383</v>
      </c>
      <c r="AH39" s="66" t="str">
        <f t="shared" si="40"/>
        <v>[TestCase(3, -10, 3, 10, 0, 0, 6, 3, 5.196152, 3, -5.196152)]  // Vertical Intersection at +x</v>
      </c>
    </row>
    <row r="40" spans="1:34" x14ac:dyDescent="0.3">
      <c r="A40" s="15">
        <v>-3</v>
      </c>
      <c r="B40" s="16">
        <v>-10</v>
      </c>
      <c r="C40" s="16">
        <v>-3</v>
      </c>
      <c r="D40" s="19">
        <v>10</v>
      </c>
      <c r="E40" s="15">
        <f t="shared" si="19"/>
        <v>-3</v>
      </c>
      <c r="F40" s="16">
        <f t="shared" si="20"/>
        <v>-10</v>
      </c>
      <c r="G40" s="16">
        <f t="shared" si="21"/>
        <v>-3</v>
      </c>
      <c r="H40" s="19">
        <f t="shared" si="22"/>
        <v>10</v>
      </c>
      <c r="I40" s="15">
        <v>0</v>
      </c>
      <c r="J40" s="16">
        <v>0</v>
      </c>
      <c r="K40" s="19">
        <v>6</v>
      </c>
      <c r="L40">
        <f t="shared" ref="L40:L43" si="41">G40-E40</f>
        <v>0</v>
      </c>
      <c r="M40">
        <f t="shared" ref="M40:M43" si="42">H40-F40</f>
        <v>20</v>
      </c>
      <c r="N40">
        <f t="shared" ref="N40:N43" si="43">SQRT(L40^2+M40^2)</f>
        <v>20</v>
      </c>
      <c r="O40">
        <f t="shared" si="38"/>
        <v>-60</v>
      </c>
      <c r="P40" s="15">
        <f t="shared" si="14"/>
        <v>-3</v>
      </c>
      <c r="Q40" s="16">
        <f t="shared" si="39"/>
        <v>5.196152422706632</v>
      </c>
      <c r="R40" s="16">
        <f t="shared" si="23"/>
        <v>-3</v>
      </c>
      <c r="S40" s="16">
        <f t="shared" si="24"/>
        <v>-5.196152422706632</v>
      </c>
      <c r="T40" s="19">
        <f t="shared" si="16"/>
        <v>10800</v>
      </c>
      <c r="U40" s="56">
        <f t="shared" si="25"/>
        <v>0</v>
      </c>
      <c r="V40" s="58">
        <f t="shared" si="26"/>
        <v>0</v>
      </c>
      <c r="W40">
        <f t="shared" si="17"/>
        <v>-3</v>
      </c>
      <c r="X40">
        <f t="shared" si="18"/>
        <v>5.196152422706632</v>
      </c>
      <c r="Y40">
        <f t="shared" si="27"/>
        <v>-3</v>
      </c>
      <c r="Z40">
        <f t="shared" si="28"/>
        <v>-5.196152422706632</v>
      </c>
      <c r="AB40" t="s">
        <v>384</v>
      </c>
      <c r="AH40" s="66" t="str">
        <f t="shared" si="40"/>
        <v>[TestCase(-3, -10, -3, 10, 0, 0, 6, -3, 5.196152, -3, -5.196152)]  // Vertical Intersection at -x</v>
      </c>
    </row>
    <row r="41" spans="1:34" x14ac:dyDescent="0.3">
      <c r="A41" s="15">
        <v>10</v>
      </c>
      <c r="B41" s="16">
        <v>3</v>
      </c>
      <c r="C41" s="16">
        <v>-10</v>
      </c>
      <c r="D41" s="19">
        <v>3</v>
      </c>
      <c r="E41" s="15">
        <f t="shared" si="19"/>
        <v>10</v>
      </c>
      <c r="F41" s="16">
        <f t="shared" si="20"/>
        <v>3</v>
      </c>
      <c r="G41" s="16">
        <f t="shared" si="21"/>
        <v>-10</v>
      </c>
      <c r="H41" s="19">
        <f t="shared" si="22"/>
        <v>3</v>
      </c>
      <c r="I41" s="15">
        <v>0</v>
      </c>
      <c r="J41" s="16">
        <v>0</v>
      </c>
      <c r="K41" s="19">
        <v>6</v>
      </c>
      <c r="L41">
        <f t="shared" si="41"/>
        <v>-20</v>
      </c>
      <c r="M41">
        <f t="shared" si="42"/>
        <v>0</v>
      </c>
      <c r="N41">
        <f t="shared" si="43"/>
        <v>20</v>
      </c>
      <c r="O41">
        <f t="shared" si="38"/>
        <v>60</v>
      </c>
      <c r="P41" s="15">
        <f t="shared" si="14"/>
        <v>-5.196152422706632</v>
      </c>
      <c r="Q41" s="16">
        <f t="shared" si="39"/>
        <v>3</v>
      </c>
      <c r="R41" s="16">
        <f t="shared" si="23"/>
        <v>5.196152422706632</v>
      </c>
      <c r="S41" s="16">
        <f t="shared" si="24"/>
        <v>3</v>
      </c>
      <c r="T41" s="19">
        <f t="shared" si="16"/>
        <v>10800</v>
      </c>
      <c r="U41" s="56">
        <f t="shared" si="25"/>
        <v>0</v>
      </c>
      <c r="V41" s="58">
        <f t="shared" si="26"/>
        <v>0</v>
      </c>
      <c r="W41">
        <f t="shared" si="17"/>
        <v>-5.196152422706632</v>
      </c>
      <c r="X41">
        <f t="shared" si="18"/>
        <v>3</v>
      </c>
      <c r="Y41">
        <f t="shared" si="27"/>
        <v>5.196152422706632</v>
      </c>
      <c r="Z41">
        <f t="shared" si="28"/>
        <v>3</v>
      </c>
      <c r="AB41" t="s">
        <v>385</v>
      </c>
      <c r="AH41" s="66" t="str">
        <f t="shared" si="40"/>
        <v>[TestCase(10, 3, -10, 3, 0, 0, 6, -5.196152, 3, 5.196152, 3)]  // Horizontal Intersection at +y</v>
      </c>
    </row>
    <row r="42" spans="1:34" x14ac:dyDescent="0.3">
      <c r="A42" s="15">
        <v>10</v>
      </c>
      <c r="B42" s="16">
        <v>-3</v>
      </c>
      <c r="C42" s="16">
        <v>-10</v>
      </c>
      <c r="D42" s="19">
        <v>-3</v>
      </c>
      <c r="E42" s="15">
        <f t="shared" si="19"/>
        <v>10</v>
      </c>
      <c r="F42" s="16">
        <f t="shared" si="20"/>
        <v>-3</v>
      </c>
      <c r="G42" s="16">
        <f t="shared" si="21"/>
        <v>-10</v>
      </c>
      <c r="H42" s="19">
        <f t="shared" si="22"/>
        <v>-3</v>
      </c>
      <c r="I42" s="15">
        <v>0</v>
      </c>
      <c r="J42" s="16">
        <v>0</v>
      </c>
      <c r="K42" s="19">
        <v>6</v>
      </c>
      <c r="L42">
        <f t="shared" si="41"/>
        <v>-20</v>
      </c>
      <c r="M42">
        <f t="shared" si="42"/>
        <v>0</v>
      </c>
      <c r="N42">
        <f t="shared" si="43"/>
        <v>20</v>
      </c>
      <c r="O42">
        <f t="shared" si="38"/>
        <v>-60</v>
      </c>
      <c r="P42" s="15">
        <f t="shared" si="14"/>
        <v>-5.196152422706632</v>
      </c>
      <c r="Q42" s="16">
        <f t="shared" si="39"/>
        <v>-3</v>
      </c>
      <c r="R42" s="16">
        <f t="shared" si="23"/>
        <v>5.196152422706632</v>
      </c>
      <c r="S42" s="16">
        <f t="shared" si="24"/>
        <v>-3</v>
      </c>
      <c r="T42" s="19">
        <f t="shared" si="16"/>
        <v>10800</v>
      </c>
      <c r="U42" s="56">
        <f t="shared" si="25"/>
        <v>0</v>
      </c>
      <c r="V42" s="58">
        <f t="shared" si="26"/>
        <v>0</v>
      </c>
      <c r="W42">
        <f t="shared" si="17"/>
        <v>-5.196152422706632</v>
      </c>
      <c r="X42">
        <f t="shared" si="18"/>
        <v>-3</v>
      </c>
      <c r="Y42">
        <f t="shared" si="27"/>
        <v>5.196152422706632</v>
      </c>
      <c r="Z42">
        <f t="shared" si="28"/>
        <v>-3</v>
      </c>
      <c r="AB42" t="s">
        <v>386</v>
      </c>
      <c r="AH42" s="66" t="str">
        <f t="shared" si="40"/>
        <v>[TestCase(10, -3, -10, -3, 0, 0, 6, -5.196152, -3, 5.196152, -3)]  // Horizontal Intersection at -y</v>
      </c>
    </row>
    <row r="43" spans="1:34" x14ac:dyDescent="0.3">
      <c r="A43" s="15">
        <v>0</v>
      </c>
      <c r="B43" s="16">
        <v>7</v>
      </c>
      <c r="C43" s="16">
        <v>7</v>
      </c>
      <c r="D43" s="19">
        <v>0</v>
      </c>
      <c r="E43" s="15">
        <f t="shared" si="19"/>
        <v>0</v>
      </c>
      <c r="F43" s="16">
        <f t="shared" si="20"/>
        <v>7</v>
      </c>
      <c r="G43" s="16">
        <f t="shared" si="21"/>
        <v>7</v>
      </c>
      <c r="H43" s="19">
        <f t="shared" si="22"/>
        <v>0</v>
      </c>
      <c r="I43" s="15">
        <v>0</v>
      </c>
      <c r="J43" s="16">
        <v>0</v>
      </c>
      <c r="K43" s="19">
        <v>6</v>
      </c>
      <c r="L43">
        <f t="shared" si="41"/>
        <v>7</v>
      </c>
      <c r="M43">
        <f t="shared" si="42"/>
        <v>-7</v>
      </c>
      <c r="N43">
        <f t="shared" si="43"/>
        <v>9.8994949366116654</v>
      </c>
      <c r="O43">
        <f t="shared" si="38"/>
        <v>-49</v>
      </c>
      <c r="P43" s="15">
        <f t="shared" si="14"/>
        <v>1.10208423834364</v>
      </c>
      <c r="Q43" s="16">
        <f t="shared" si="39"/>
        <v>5.8979157616563604</v>
      </c>
      <c r="R43" s="16">
        <f t="shared" si="23"/>
        <v>5.8979157616563604</v>
      </c>
      <c r="S43" s="16">
        <f t="shared" si="24"/>
        <v>1.10208423834364</v>
      </c>
      <c r="T43" s="19">
        <f t="shared" si="16"/>
        <v>1127</v>
      </c>
      <c r="U43" s="56">
        <f t="shared" si="25"/>
        <v>0</v>
      </c>
      <c r="V43" s="58">
        <f t="shared" si="26"/>
        <v>0</v>
      </c>
      <c r="W43">
        <f t="shared" si="17"/>
        <v>1.10208423834364</v>
      </c>
      <c r="X43">
        <f t="shared" si="18"/>
        <v>5.8979157616563604</v>
      </c>
      <c r="Y43">
        <f t="shared" si="27"/>
        <v>5.8979157616563604</v>
      </c>
      <c r="Z43">
        <f t="shared" si="28"/>
        <v>1.10208423834364</v>
      </c>
      <c r="AB43" t="s">
        <v>381</v>
      </c>
      <c r="AH43" s="66" t="str">
        <f t="shared" si="40"/>
        <v>[TestCase(0, 7, 7, 0, 0, 0, 6, 1.102084, 5.897916, 5.897916, 1.102084)]  // Sloped Intersection</v>
      </c>
    </row>
    <row r="44" spans="1:34" x14ac:dyDescent="0.3">
      <c r="A44" s="15">
        <v>5</v>
      </c>
      <c r="B44" s="16">
        <v>13</v>
      </c>
      <c r="C44" s="16">
        <v>12</v>
      </c>
      <c r="D44" s="19">
        <v>6</v>
      </c>
      <c r="E44" s="15">
        <f t="shared" si="19"/>
        <v>0</v>
      </c>
      <c r="F44" s="16">
        <f t="shared" si="20"/>
        <v>7</v>
      </c>
      <c r="G44" s="16">
        <f t="shared" si="21"/>
        <v>7</v>
      </c>
      <c r="H44" s="19">
        <f t="shared" si="22"/>
        <v>0</v>
      </c>
      <c r="I44" s="15">
        <v>5</v>
      </c>
      <c r="J44" s="16">
        <v>6</v>
      </c>
      <c r="K44" s="19">
        <v>6</v>
      </c>
      <c r="L44">
        <f>G44-E44</f>
        <v>7</v>
      </c>
      <c r="M44">
        <f>H44-F44</f>
        <v>-7</v>
      </c>
      <c r="N44">
        <f>SQRT(L44^2+M44^2)</f>
        <v>9.8994949366116654</v>
      </c>
      <c r="O44">
        <f t="shared" si="38"/>
        <v>-49</v>
      </c>
      <c r="P44" s="15">
        <f t="shared" si="14"/>
        <v>1.10208423834364</v>
      </c>
      <c r="Q44" s="16">
        <f t="shared" si="39"/>
        <v>5.8979157616563604</v>
      </c>
      <c r="R44" s="16">
        <f>(O44*M44-IF(M44=0,1,SIGN(M44))*L44*SQRT(K44^2*N44^2-O44^2))/N44^2</f>
        <v>5.8979157616563604</v>
      </c>
      <c r="S44" s="16">
        <f t="shared" si="24"/>
        <v>1.10208423834364</v>
      </c>
      <c r="T44" s="19">
        <f t="shared" si="16"/>
        <v>1127</v>
      </c>
      <c r="U44" s="56">
        <f t="shared" si="25"/>
        <v>5</v>
      </c>
      <c r="V44" s="58">
        <f t="shared" si="26"/>
        <v>6</v>
      </c>
      <c r="W44">
        <f t="shared" si="17"/>
        <v>6.1020842383436396</v>
      </c>
      <c r="X44">
        <f t="shared" si="18"/>
        <v>11.89791576165636</v>
      </c>
      <c r="Y44">
        <f t="shared" si="27"/>
        <v>10.89791576165636</v>
      </c>
      <c r="Z44">
        <f t="shared" si="28"/>
        <v>7.1020842383436396</v>
      </c>
      <c r="AB44" t="s">
        <v>421</v>
      </c>
      <c r="AH44" s="66" t="str">
        <f t="shared" si="40"/>
        <v>[TestCase(5, 13, 12, 6, 5, 6, 6, 6.102084, 11.897916, 10.897916, 7.102084)]  // Sloped Intersection in translated coordinates</v>
      </c>
    </row>
    <row r="45" spans="1:34" x14ac:dyDescent="0.3">
      <c r="E45" s="16"/>
      <c r="F45" s="16"/>
      <c r="G45" s="16"/>
      <c r="H45" s="16"/>
      <c r="I45" s="16"/>
      <c r="J45" s="16"/>
      <c r="K45" s="16"/>
      <c r="P45" s="16"/>
      <c r="Q45" s="16"/>
      <c r="R45" s="16"/>
      <c r="S45" s="16"/>
      <c r="T45" s="16"/>
    </row>
    <row r="46" spans="1:34" s="2" customFormat="1" x14ac:dyDescent="0.3">
      <c r="A46" s="2" t="s">
        <v>348</v>
      </c>
    </row>
    <row r="47" spans="1:34" s="4" customFormat="1" x14ac:dyDescent="0.3">
      <c r="A47" s="131" t="s">
        <v>359</v>
      </c>
      <c r="B47" s="132"/>
      <c r="C47" s="133"/>
      <c r="D47" s="131" t="s">
        <v>360</v>
      </c>
      <c r="E47" s="132"/>
      <c r="F47" s="133"/>
      <c r="H47" s="70" t="s">
        <v>410</v>
      </c>
      <c r="I47" s="71"/>
      <c r="J47" s="71"/>
      <c r="K47" s="71"/>
      <c r="L47" s="60"/>
      <c r="M47" s="36" t="s">
        <v>412</v>
      </c>
      <c r="N47" s="36" t="s">
        <v>413</v>
      </c>
      <c r="O47" s="36" t="s">
        <v>414</v>
      </c>
      <c r="P47" s="70" t="s">
        <v>411</v>
      </c>
      <c r="Q47" s="72"/>
      <c r="R47" s="72"/>
      <c r="S47" s="72"/>
    </row>
    <row r="48" spans="1:34" s="6" customFormat="1" x14ac:dyDescent="0.3">
      <c r="A48" s="13" t="s">
        <v>351</v>
      </c>
      <c r="B48" s="14" t="s">
        <v>352</v>
      </c>
      <c r="C48" s="18" t="s">
        <v>353</v>
      </c>
      <c r="D48" s="13" t="s">
        <v>354</v>
      </c>
      <c r="E48" s="14" t="s">
        <v>355</v>
      </c>
      <c r="F48" s="18" t="s">
        <v>356</v>
      </c>
      <c r="G48" s="6" t="s">
        <v>161</v>
      </c>
      <c r="H48" s="13" t="s">
        <v>125</v>
      </c>
      <c r="I48" s="14" t="s">
        <v>126</v>
      </c>
      <c r="J48" s="14" t="s">
        <v>127</v>
      </c>
      <c r="K48" s="14" t="s">
        <v>128</v>
      </c>
      <c r="L48" s="18" t="s">
        <v>153</v>
      </c>
      <c r="M48" s="14"/>
      <c r="N48" s="14"/>
      <c r="O48" s="14"/>
      <c r="P48" s="13" t="s">
        <v>125</v>
      </c>
      <c r="Q48" s="14" t="s">
        <v>126</v>
      </c>
      <c r="R48" s="14" t="s">
        <v>127</v>
      </c>
      <c r="S48" s="14" t="s">
        <v>128</v>
      </c>
    </row>
    <row r="49" spans="1:27" x14ac:dyDescent="0.3">
      <c r="A49" s="15">
        <v>0</v>
      </c>
      <c r="B49" s="16">
        <v>0</v>
      </c>
      <c r="C49" s="39">
        <v>6</v>
      </c>
      <c r="D49" s="15">
        <f>11+A49</f>
        <v>11</v>
      </c>
      <c r="E49" s="16">
        <v>0</v>
      </c>
      <c r="F49" s="39">
        <v>3</v>
      </c>
      <c r="G49">
        <f t="shared" ref="G49:G56" si="44">SQRT((D49-A49)^2+(E49-B49)^2)</f>
        <v>11</v>
      </c>
      <c r="H49" s="15" t="str">
        <f>IF(G49&gt;C49+F49,"No Intersection",IF(G49=C49+F49,C49,(G49^2-F49^2+C49^2)/(2*G49)))</f>
        <v>No Intersection</v>
      </c>
      <c r="I49" s="16" t="str">
        <f>IF(G49&gt;C49+F49,"No Intersection",IF(G49=C49+F49,0,SQRT(C49^2-H49^2)))</f>
        <v>No Intersection</v>
      </c>
      <c r="J49" s="16" t="str">
        <f>IF(G49&gt;C49+F49,"No Intersection",IF(G49=C49+F49,C49,(G49^2-F49^2+C49^2)/(2*G49)))</f>
        <v>No Intersection</v>
      </c>
      <c r="K49" s="16" t="str">
        <f>IF(G49&gt;C49+F49,"No Intersection",IF(G49=C49+F49,0,-SQRT(C49^2-J49^2)))</f>
        <v>No Intersection</v>
      </c>
      <c r="L49" s="19" t="str">
        <f t="shared" ref="L49:L72" si="45">IF(G49&gt;C49+F49,"No Intersection",IF(G49=C49+F49,0,2*I49))</f>
        <v>No Intersection</v>
      </c>
      <c r="M49" s="16">
        <f t="shared" ref="M49:M72" si="46">A49</f>
        <v>0</v>
      </c>
      <c r="N49" s="16">
        <f t="shared" ref="N49:N72" si="47">B49</f>
        <v>0</v>
      </c>
      <c r="O49" s="16">
        <f>IF((D49-A49) &lt; 0, PI(),IF((E49-B49) &lt; 0, 2*PI(),0))+ATAN((E49-B49)/(D49-A49))</f>
        <v>0</v>
      </c>
      <c r="P49" s="59" t="e">
        <f>H49*COS(O49)-I49*SIN(O49)+A49</f>
        <v>#VALUE!</v>
      </c>
      <c r="Q49" s="3" t="e">
        <f>H49*SIN(O49)+I49*COS(O49)+B49</f>
        <v>#VALUE!</v>
      </c>
      <c r="R49" s="3" t="e">
        <f>J49*COS(O49)-K49*SIN(O49)+A49</f>
        <v>#VALUE!</v>
      </c>
      <c r="S49" s="3" t="e">
        <f>J49*SIN(O49)+K49*COS(O49)+B49</f>
        <v>#VALUE!</v>
      </c>
      <c r="U49" t="s">
        <v>376</v>
      </c>
      <c r="AA49" s="73" t="str">
        <f>"[TestCase("&amp;A49&amp;", "&amp;B49&amp;", "&amp;C49&amp;", "&amp;D49&amp;", "&amp;E49&amp;", "&amp;F49&amp;", false)]  // "&amp;U49</f>
        <v>[TestCase(0, 0, 6, 11, 0, 3, false)]  // No intersection</v>
      </c>
    </row>
    <row r="50" spans="1:27" x14ac:dyDescent="0.3">
      <c r="A50" s="15">
        <v>4</v>
      </c>
      <c r="B50" s="16">
        <v>0</v>
      </c>
      <c r="C50" s="39">
        <v>6</v>
      </c>
      <c r="D50" s="15">
        <f>11+A50</f>
        <v>15</v>
      </c>
      <c r="E50" s="16">
        <v>0</v>
      </c>
      <c r="F50" s="39">
        <v>3</v>
      </c>
      <c r="G50">
        <f t="shared" si="44"/>
        <v>11</v>
      </c>
      <c r="H50" s="15" t="str">
        <f t="shared" ref="H50:H72" si="48">IF(G50&gt;C50+F50,"No Intersection",IF(G50=C50+F50,C50,(G50^2-F50^2+C50^2)/(2*G50)))</f>
        <v>No Intersection</v>
      </c>
      <c r="I50" s="16" t="str">
        <f t="shared" ref="I50:I72" si="49">IF(G50&gt;C50+F50,"No Intersection",IF(G50=C50+F50,0,SQRT(C50^2-H50^2)))</f>
        <v>No Intersection</v>
      </c>
      <c r="J50" s="16" t="str">
        <f t="shared" ref="J50:J72" si="50">IF(G50&gt;C50+F50,"No Intersection",IF(G50=C50+F50,C50,(G50^2-F50^2+C50^2)/(2*G50)))</f>
        <v>No Intersection</v>
      </c>
      <c r="K50" s="16" t="str">
        <f t="shared" ref="K50:K72" si="51">IF(G50&gt;C50+F50,"No Intersection",IF(G50=C50+F50,0,-SQRT(C50^2-J50^2)))</f>
        <v>No Intersection</v>
      </c>
      <c r="L50" s="19" t="str">
        <f t="shared" si="45"/>
        <v>No Intersection</v>
      </c>
      <c r="M50" s="16">
        <f t="shared" si="46"/>
        <v>4</v>
      </c>
      <c r="N50" s="16">
        <f t="shared" si="47"/>
        <v>0</v>
      </c>
      <c r="O50" s="16">
        <f t="shared" ref="O50:O72" si="52">IF((D50-A50) &lt; 0, PI(),IF((E50-B50) &lt; 0, 2*PI(),0))+ATAN((E50-B50)/(D50-A50))</f>
        <v>0</v>
      </c>
      <c r="P50" s="59" t="e">
        <f t="shared" ref="P50:P72" si="53">H50*COS(O50)-I50*SIN(O50)+A50</f>
        <v>#VALUE!</v>
      </c>
      <c r="Q50" s="3" t="e">
        <f t="shared" ref="Q50:Q72" si="54">H50*SIN(O50)+I50*COS(O50)+B50</f>
        <v>#VALUE!</v>
      </c>
      <c r="R50" s="3" t="e">
        <f t="shared" ref="R50:R72" si="55">J50*COS(O50)-K50*SIN(O50)+A50</f>
        <v>#VALUE!</v>
      </c>
      <c r="S50" s="3" t="e">
        <f t="shared" ref="S50:S72" si="56">J50*SIN(O50)+K50*COS(O50)+B50</f>
        <v>#VALUE!</v>
      </c>
      <c r="U50" t="s">
        <v>391</v>
      </c>
      <c r="AA50" s="73" t="str">
        <f t="shared" ref="AA50:AA56" si="57">"[TestCase("&amp;A50&amp;", "&amp;B50&amp;", "&amp;C50&amp;", "&amp;D50&amp;", "&amp;E50&amp;", "&amp;F50&amp;", false)]  // "&amp;U50</f>
        <v>[TestCase(4, 0, 6, 15, 0, 3, false)]  // No intersection, Shifted+</v>
      </c>
    </row>
    <row r="51" spans="1:27" x14ac:dyDescent="0.3">
      <c r="A51" s="15">
        <v>-4</v>
      </c>
      <c r="B51" s="16">
        <v>0</v>
      </c>
      <c r="C51" s="39">
        <v>6</v>
      </c>
      <c r="D51" s="15">
        <f>11+A51</f>
        <v>7</v>
      </c>
      <c r="E51" s="16">
        <v>0</v>
      </c>
      <c r="F51" s="39">
        <v>3</v>
      </c>
      <c r="G51">
        <f t="shared" si="44"/>
        <v>11</v>
      </c>
      <c r="H51" s="15" t="str">
        <f t="shared" si="48"/>
        <v>No Intersection</v>
      </c>
      <c r="I51" s="16" t="str">
        <f t="shared" si="49"/>
        <v>No Intersection</v>
      </c>
      <c r="J51" s="16" t="str">
        <f t="shared" si="50"/>
        <v>No Intersection</v>
      </c>
      <c r="K51" s="16" t="str">
        <f t="shared" si="51"/>
        <v>No Intersection</v>
      </c>
      <c r="L51" s="19" t="str">
        <f t="shared" si="45"/>
        <v>No Intersection</v>
      </c>
      <c r="M51" s="16">
        <f t="shared" si="46"/>
        <v>-4</v>
      </c>
      <c r="N51" s="16">
        <f t="shared" si="47"/>
        <v>0</v>
      </c>
      <c r="O51" s="16">
        <f t="shared" si="52"/>
        <v>0</v>
      </c>
      <c r="P51" s="59" t="e">
        <f t="shared" si="53"/>
        <v>#VALUE!</v>
      </c>
      <c r="Q51" s="3" t="e">
        <f t="shared" si="54"/>
        <v>#VALUE!</v>
      </c>
      <c r="R51" s="3" t="e">
        <f t="shared" si="55"/>
        <v>#VALUE!</v>
      </c>
      <c r="S51" s="3" t="e">
        <f t="shared" si="56"/>
        <v>#VALUE!</v>
      </c>
      <c r="U51" t="s">
        <v>394</v>
      </c>
      <c r="AA51" s="73" t="str">
        <f t="shared" si="57"/>
        <v>[TestCase(-4, 0, 6, 7, 0, 3, false)]  // No intersection, Shifted-</v>
      </c>
    </row>
    <row r="52" spans="1:27" x14ac:dyDescent="0.3">
      <c r="A52" s="15">
        <v>0</v>
      </c>
      <c r="B52" s="16">
        <v>0</v>
      </c>
      <c r="C52" s="39">
        <v>6</v>
      </c>
      <c r="D52" s="15">
        <f>A52+$G$49*COS(RADIANS(30))</f>
        <v>9.5262794416288266</v>
      </c>
      <c r="E52" s="16">
        <f>B52+$G$49*SIN(RADIANS(30))</f>
        <v>5.4999999999999991</v>
      </c>
      <c r="F52" s="39">
        <v>3</v>
      </c>
      <c r="G52">
        <f t="shared" si="44"/>
        <v>11</v>
      </c>
      <c r="H52" s="15" t="str">
        <f t="shared" si="48"/>
        <v>No Intersection</v>
      </c>
      <c r="I52" s="16" t="str">
        <f t="shared" si="49"/>
        <v>No Intersection</v>
      </c>
      <c r="J52" s="16" t="str">
        <f t="shared" si="50"/>
        <v>No Intersection</v>
      </c>
      <c r="K52" s="16" t="str">
        <f t="shared" si="51"/>
        <v>No Intersection</v>
      </c>
      <c r="L52" s="19" t="str">
        <f t="shared" si="45"/>
        <v>No Intersection</v>
      </c>
      <c r="M52" s="16">
        <f t="shared" si="46"/>
        <v>0</v>
      </c>
      <c r="N52" s="16">
        <f t="shared" si="47"/>
        <v>0</v>
      </c>
      <c r="O52" s="16">
        <f t="shared" si="52"/>
        <v>0.52359877559829882</v>
      </c>
      <c r="P52" s="59" t="e">
        <f t="shared" si="53"/>
        <v>#VALUE!</v>
      </c>
      <c r="Q52" s="3" t="e">
        <f t="shared" si="54"/>
        <v>#VALUE!</v>
      </c>
      <c r="R52" s="3" t="e">
        <f t="shared" si="55"/>
        <v>#VALUE!</v>
      </c>
      <c r="S52" s="3" t="e">
        <f t="shared" si="56"/>
        <v>#VALUE!</v>
      </c>
      <c r="U52" t="s">
        <v>397</v>
      </c>
      <c r="AA52" s="73" t="str">
        <f t="shared" si="57"/>
        <v>[TestCase(0, 0, 6, 9.52627944162883, 5.5, 3, false)]  // No intersection, Rotated+</v>
      </c>
    </row>
    <row r="53" spans="1:27" x14ac:dyDescent="0.3">
      <c r="A53" s="15">
        <v>4</v>
      </c>
      <c r="B53" s="16">
        <v>5</v>
      </c>
      <c r="C53" s="39">
        <v>6</v>
      </c>
      <c r="D53" s="15">
        <f>A53+$G$49*COS(RADIANS(30))</f>
        <v>13.526279441628827</v>
      </c>
      <c r="E53" s="16">
        <f>B53+$G$49*SIN(RADIANS(30))</f>
        <v>10.5</v>
      </c>
      <c r="F53" s="39">
        <v>3</v>
      </c>
      <c r="G53">
        <f t="shared" si="44"/>
        <v>11.000000000000002</v>
      </c>
      <c r="H53" s="15" t="str">
        <f>IF(G53&gt;C53+F53,"No Intersection",IF(G53=C53+F53,C53,(G53^2-F53^2+C53^2)/(2*G53)))</f>
        <v>No Intersection</v>
      </c>
      <c r="I53" s="16" t="str">
        <f>IF(G53&gt;C53+F53,"No Intersection",IF(G53=C53+F53,0,SQRT(C53^2-H53^2)))</f>
        <v>No Intersection</v>
      </c>
      <c r="J53" s="16" t="str">
        <f t="shared" si="50"/>
        <v>No Intersection</v>
      </c>
      <c r="K53" s="16" t="str">
        <f t="shared" si="51"/>
        <v>No Intersection</v>
      </c>
      <c r="L53" s="19" t="str">
        <f t="shared" si="45"/>
        <v>No Intersection</v>
      </c>
      <c r="M53" s="16">
        <f t="shared" si="46"/>
        <v>4</v>
      </c>
      <c r="N53" s="16">
        <f t="shared" si="47"/>
        <v>5</v>
      </c>
      <c r="O53" s="16">
        <f t="shared" si="52"/>
        <v>0.52359877559829882</v>
      </c>
      <c r="P53" s="59" t="e">
        <f t="shared" si="53"/>
        <v>#VALUE!</v>
      </c>
      <c r="Q53" s="3" t="e">
        <f t="shared" si="54"/>
        <v>#VALUE!</v>
      </c>
      <c r="R53" s="3" t="e">
        <f t="shared" si="55"/>
        <v>#VALUE!</v>
      </c>
      <c r="S53" s="3" t="e">
        <f t="shared" si="56"/>
        <v>#VALUE!</v>
      </c>
      <c r="U53" t="s">
        <v>428</v>
      </c>
      <c r="AA53" s="73" t="str">
        <f t="shared" si="57"/>
        <v>[TestCase(4, 5, 6, 13.5262794416288, 10.5, 3, false)]  // No intersection, Translated and Rotated to quadrant 1</v>
      </c>
    </row>
    <row r="54" spans="1:27" x14ac:dyDescent="0.3">
      <c r="A54" s="15">
        <v>-4</v>
      </c>
      <c r="B54" s="16">
        <v>5</v>
      </c>
      <c r="C54" s="39">
        <v>6</v>
      </c>
      <c r="D54" s="15">
        <f>A54+$G$49*COS(RADIANS(150))</f>
        <v>-13.526279441628827</v>
      </c>
      <c r="E54" s="16">
        <f>B54+$G$49*SIN(RADIANS(150))</f>
        <v>10.5</v>
      </c>
      <c r="F54" s="39">
        <v>3</v>
      </c>
      <c r="G54">
        <f t="shared" si="44"/>
        <v>11.000000000000002</v>
      </c>
      <c r="H54" s="15" t="str">
        <f t="shared" si="48"/>
        <v>No Intersection</v>
      </c>
      <c r="I54" s="16" t="str">
        <f t="shared" si="49"/>
        <v>No Intersection</v>
      </c>
      <c r="J54" s="16" t="str">
        <f>IF(G54&gt;C54+F54,"No Intersection",IF(G54=C54+F54,C54,(G54^2-F54^2+C54^2)/(2*G54)))</f>
        <v>No Intersection</v>
      </c>
      <c r="K54" s="16" t="str">
        <f>IF(G54&gt;C54+F54,"No Intersection",IF(G54=C54+F54,0,-SQRT(C54^2-J54^2)))</f>
        <v>No Intersection</v>
      </c>
      <c r="L54" s="19" t="str">
        <f t="shared" si="45"/>
        <v>No Intersection</v>
      </c>
      <c r="M54" s="16">
        <f t="shared" si="46"/>
        <v>-4</v>
      </c>
      <c r="N54" s="16">
        <f t="shared" si="47"/>
        <v>5</v>
      </c>
      <c r="O54" s="16">
        <f t="shared" si="52"/>
        <v>2.6179938779914944</v>
      </c>
      <c r="P54" s="59" t="e">
        <f t="shared" si="53"/>
        <v>#VALUE!</v>
      </c>
      <c r="Q54" s="3" t="e">
        <f t="shared" si="54"/>
        <v>#VALUE!</v>
      </c>
      <c r="R54" s="3" t="e">
        <f t="shared" si="55"/>
        <v>#VALUE!</v>
      </c>
      <c r="S54" s="3" t="e">
        <f t="shared" si="56"/>
        <v>#VALUE!</v>
      </c>
      <c r="U54" t="s">
        <v>431</v>
      </c>
      <c r="AA54" s="73" t="str">
        <f t="shared" si="57"/>
        <v>[TestCase(-4, 5, 6, -13.5262794416288, 10.5, 3, false)]  // No intersection, Translated and Rotated to quadrant 2</v>
      </c>
    </row>
    <row r="55" spans="1:27" x14ac:dyDescent="0.3">
      <c r="A55" s="15">
        <v>-4</v>
      </c>
      <c r="B55" s="16">
        <v>-5</v>
      </c>
      <c r="C55" s="39">
        <v>6</v>
      </c>
      <c r="D55" s="15">
        <f>A55+$G$49*COS(RADIANS(210))</f>
        <v>-13.526279441628825</v>
      </c>
      <c r="E55" s="16">
        <f>B55+$G$49*SIN(RADIANS(210))</f>
        <v>-10.5</v>
      </c>
      <c r="F55" s="39">
        <v>3</v>
      </c>
      <c r="G55">
        <f t="shared" si="44"/>
        <v>11</v>
      </c>
      <c r="H55" s="15" t="str">
        <f t="shared" si="48"/>
        <v>No Intersection</v>
      </c>
      <c r="I55" s="16" t="str">
        <f t="shared" si="49"/>
        <v>No Intersection</v>
      </c>
      <c r="J55" s="16" t="str">
        <f t="shared" si="50"/>
        <v>No Intersection</v>
      </c>
      <c r="K55" s="16" t="str">
        <f t="shared" si="51"/>
        <v>No Intersection</v>
      </c>
      <c r="L55" s="19" t="str">
        <f t="shared" si="45"/>
        <v>No Intersection</v>
      </c>
      <c r="M55" s="16">
        <f t="shared" si="46"/>
        <v>-4</v>
      </c>
      <c r="N55" s="16">
        <f t="shared" si="47"/>
        <v>-5</v>
      </c>
      <c r="O55" s="16">
        <f t="shared" si="52"/>
        <v>3.6651914291880918</v>
      </c>
      <c r="P55" s="59" t="e">
        <f t="shared" si="53"/>
        <v>#VALUE!</v>
      </c>
      <c r="Q55" s="3" t="e">
        <f t="shared" si="54"/>
        <v>#VALUE!</v>
      </c>
      <c r="R55" s="3" t="e">
        <f t="shared" si="55"/>
        <v>#VALUE!</v>
      </c>
      <c r="S55" s="3" t="e">
        <f t="shared" si="56"/>
        <v>#VALUE!</v>
      </c>
      <c r="U55" t="s">
        <v>429</v>
      </c>
      <c r="AA55" s="73" t="str">
        <f t="shared" si="57"/>
        <v>[TestCase(-4, -5, 6, -13.5262794416288, -10.5, 3, false)]  // No intersection, Translated and Rotated to quadrant 3</v>
      </c>
    </row>
    <row r="56" spans="1:27" x14ac:dyDescent="0.3">
      <c r="A56" s="15">
        <v>4</v>
      </c>
      <c r="B56" s="16">
        <v>-5</v>
      </c>
      <c r="C56" s="39">
        <v>6</v>
      </c>
      <c r="D56" s="15">
        <f>A56+$G$49*COS(RADIANS(-30))</f>
        <v>13.526279441628827</v>
      </c>
      <c r="E56" s="16">
        <f>B56+$G$49*SIN(RADIANS(-30))</f>
        <v>-10.5</v>
      </c>
      <c r="F56" s="39">
        <v>3</v>
      </c>
      <c r="G56">
        <f t="shared" si="44"/>
        <v>11.000000000000002</v>
      </c>
      <c r="H56" s="15" t="str">
        <f t="shared" si="48"/>
        <v>No Intersection</v>
      </c>
      <c r="I56" s="16" t="str">
        <f t="shared" si="49"/>
        <v>No Intersection</v>
      </c>
      <c r="J56" s="16" t="str">
        <f t="shared" si="50"/>
        <v>No Intersection</v>
      </c>
      <c r="K56" s="16" t="str">
        <f t="shared" si="51"/>
        <v>No Intersection</v>
      </c>
      <c r="L56" s="19" t="str">
        <f t="shared" si="45"/>
        <v>No Intersection</v>
      </c>
      <c r="M56" s="16">
        <f t="shared" si="46"/>
        <v>4</v>
      </c>
      <c r="N56" s="16">
        <f t="shared" si="47"/>
        <v>-5</v>
      </c>
      <c r="O56" s="16">
        <f t="shared" si="52"/>
        <v>5.7595865315812871</v>
      </c>
      <c r="P56" s="59" t="e">
        <f t="shared" si="53"/>
        <v>#VALUE!</v>
      </c>
      <c r="Q56" s="3" t="e">
        <f t="shared" si="54"/>
        <v>#VALUE!</v>
      </c>
      <c r="R56" s="3" t="e">
        <f t="shared" si="55"/>
        <v>#VALUE!</v>
      </c>
      <c r="S56" s="3" t="e">
        <f t="shared" si="56"/>
        <v>#VALUE!</v>
      </c>
      <c r="U56" t="s">
        <v>430</v>
      </c>
      <c r="AA56" s="73" t="str">
        <f t="shared" si="57"/>
        <v>[TestCase(4, -5, 6, 13.5262794416288, -10.5, 3, false)]  // No intersection, Translated and Rotated to quadrant 4</v>
      </c>
    </row>
    <row r="57" spans="1:27" s="75" customFormat="1" x14ac:dyDescent="0.3">
      <c r="A57" s="81">
        <v>0</v>
      </c>
      <c r="B57" s="82">
        <v>0</v>
      </c>
      <c r="C57" s="83">
        <v>6</v>
      </c>
      <c r="D57" s="81">
        <f t="shared" ref="D57:D66" si="58">11+A57</f>
        <v>11</v>
      </c>
      <c r="E57" s="82">
        <v>0</v>
      </c>
      <c r="F57" s="83">
        <v>5</v>
      </c>
      <c r="G57" s="75">
        <f t="shared" ref="G57:G68" si="59">SQRT((D57-A57)^2+(E57-B57)^2)</f>
        <v>11</v>
      </c>
      <c r="H57" s="81">
        <f t="shared" si="48"/>
        <v>6</v>
      </c>
      <c r="I57" s="82">
        <f t="shared" si="49"/>
        <v>0</v>
      </c>
      <c r="J57" s="82">
        <f t="shared" si="50"/>
        <v>6</v>
      </c>
      <c r="K57" s="82">
        <f t="shared" si="51"/>
        <v>0</v>
      </c>
      <c r="L57" s="84">
        <f t="shared" si="45"/>
        <v>0</v>
      </c>
      <c r="M57" s="82">
        <f t="shared" si="46"/>
        <v>0</v>
      </c>
      <c r="N57" s="82">
        <f t="shared" si="47"/>
        <v>0</v>
      </c>
      <c r="O57" s="82">
        <f t="shared" si="52"/>
        <v>0</v>
      </c>
      <c r="P57" s="81">
        <f t="shared" si="53"/>
        <v>6</v>
      </c>
      <c r="Q57" s="75">
        <f t="shared" si="54"/>
        <v>0</v>
      </c>
      <c r="R57" s="75">
        <f t="shared" si="55"/>
        <v>6</v>
      </c>
      <c r="S57" s="75">
        <f t="shared" si="56"/>
        <v>0</v>
      </c>
      <c r="U57" s="75" t="s">
        <v>129</v>
      </c>
      <c r="AA57" s="74" t="str">
        <f>"[TestCase("&amp;A57&amp;", "&amp;B57&amp;", "&amp;C57&amp;", "&amp;D57&amp;", "&amp;E57&amp;", "&amp;F57&amp;", "&amp;ROUND(P57,6)&amp;", "&amp;ROUND(Q57,6)&amp;")]  // " &amp; U57</f>
        <v>[TestCase(0, 0, 6, 11, 0, 5, 6, 0)]  // Tangent</v>
      </c>
    </row>
    <row r="58" spans="1:27" s="75" customFormat="1" x14ac:dyDescent="0.3">
      <c r="A58" s="81">
        <v>4</v>
      </c>
      <c r="B58" s="82">
        <v>0</v>
      </c>
      <c r="C58" s="83">
        <v>6</v>
      </c>
      <c r="D58" s="81">
        <f>11+A58</f>
        <v>15</v>
      </c>
      <c r="E58" s="82">
        <v>0</v>
      </c>
      <c r="F58" s="83">
        <v>5</v>
      </c>
      <c r="G58" s="75">
        <f t="shared" ref="G58:G64" si="60">SQRT((D58-A58)^2+(E58-B58)^2)</f>
        <v>11</v>
      </c>
      <c r="H58" s="81">
        <f t="shared" si="48"/>
        <v>6</v>
      </c>
      <c r="I58" s="82">
        <f t="shared" si="49"/>
        <v>0</v>
      </c>
      <c r="J58" s="82">
        <f t="shared" si="50"/>
        <v>6</v>
      </c>
      <c r="K58" s="82">
        <f t="shared" si="51"/>
        <v>0</v>
      </c>
      <c r="L58" s="84">
        <f t="shared" si="45"/>
        <v>0</v>
      </c>
      <c r="M58" s="82">
        <f t="shared" si="46"/>
        <v>4</v>
      </c>
      <c r="N58" s="82">
        <f t="shared" si="47"/>
        <v>0</v>
      </c>
      <c r="O58" s="82">
        <f t="shared" si="52"/>
        <v>0</v>
      </c>
      <c r="P58" s="81">
        <f t="shared" si="53"/>
        <v>10</v>
      </c>
      <c r="Q58" s="75">
        <f t="shared" si="54"/>
        <v>0</v>
      </c>
      <c r="R58" s="75">
        <f t="shared" si="55"/>
        <v>10</v>
      </c>
      <c r="S58" s="75">
        <f t="shared" si="56"/>
        <v>0</v>
      </c>
      <c r="U58" s="75" t="s">
        <v>392</v>
      </c>
      <c r="AA58" s="74" t="str">
        <f t="shared" ref="AA58:AA64" si="61">"[TestCase("&amp;A58&amp;", "&amp;B58&amp;", "&amp;C58&amp;", "&amp;D58&amp;", "&amp;E58&amp;", "&amp;F58&amp;", "&amp;ROUND(P58,6)&amp;", "&amp;ROUND(Q58,6)&amp;")]  // " &amp; U58</f>
        <v>[TestCase(4, 0, 6, 15, 0, 5, 10, 0)]  // Tangent, Shifted+</v>
      </c>
    </row>
    <row r="59" spans="1:27" s="75" customFormat="1" x14ac:dyDescent="0.3">
      <c r="A59" s="81">
        <v>-4</v>
      </c>
      <c r="B59" s="82">
        <v>0</v>
      </c>
      <c r="C59" s="83">
        <v>6</v>
      </c>
      <c r="D59" s="81">
        <f>11+A59</f>
        <v>7</v>
      </c>
      <c r="E59" s="82">
        <v>0</v>
      </c>
      <c r="F59" s="83">
        <v>5</v>
      </c>
      <c r="G59" s="75">
        <f t="shared" si="60"/>
        <v>11</v>
      </c>
      <c r="H59" s="81">
        <f t="shared" si="48"/>
        <v>6</v>
      </c>
      <c r="I59" s="82">
        <f t="shared" si="49"/>
        <v>0</v>
      </c>
      <c r="J59" s="82">
        <f t="shared" si="50"/>
        <v>6</v>
      </c>
      <c r="K59" s="82">
        <f t="shared" si="51"/>
        <v>0</v>
      </c>
      <c r="L59" s="84">
        <f t="shared" si="45"/>
        <v>0</v>
      </c>
      <c r="M59" s="82">
        <f t="shared" si="46"/>
        <v>-4</v>
      </c>
      <c r="N59" s="82">
        <f t="shared" si="47"/>
        <v>0</v>
      </c>
      <c r="O59" s="82">
        <f t="shared" si="52"/>
        <v>0</v>
      </c>
      <c r="P59" s="81">
        <f t="shared" si="53"/>
        <v>2</v>
      </c>
      <c r="Q59" s="75">
        <f t="shared" si="54"/>
        <v>0</v>
      </c>
      <c r="R59" s="75">
        <f t="shared" si="55"/>
        <v>2</v>
      </c>
      <c r="S59" s="75">
        <f t="shared" si="56"/>
        <v>0</v>
      </c>
      <c r="U59" s="75" t="s">
        <v>395</v>
      </c>
      <c r="AA59" s="74" t="str">
        <f t="shared" si="61"/>
        <v>[TestCase(-4, 0, 6, 7, 0, 5, 2, 0)]  // Tangent, Shifted-</v>
      </c>
    </row>
    <row r="60" spans="1:27" s="75" customFormat="1" x14ac:dyDescent="0.3">
      <c r="A60" s="81">
        <v>0</v>
      </c>
      <c r="B60" s="82">
        <v>0</v>
      </c>
      <c r="C60" s="83">
        <v>6</v>
      </c>
      <c r="D60" s="81">
        <f>A60+$G$49*COS(RADIANS(30))</f>
        <v>9.5262794416288266</v>
      </c>
      <c r="E60" s="82">
        <f>B60+$G$49*SIN(RADIANS(30))</f>
        <v>5.4999999999999991</v>
      </c>
      <c r="F60" s="83">
        <v>5</v>
      </c>
      <c r="G60" s="75">
        <f t="shared" si="60"/>
        <v>11</v>
      </c>
      <c r="H60" s="81">
        <f t="shared" si="48"/>
        <v>6</v>
      </c>
      <c r="I60" s="82">
        <f t="shared" si="49"/>
        <v>0</v>
      </c>
      <c r="J60" s="82">
        <f t="shared" si="50"/>
        <v>6</v>
      </c>
      <c r="K60" s="82">
        <f t="shared" si="51"/>
        <v>0</v>
      </c>
      <c r="L60" s="84">
        <f t="shared" si="45"/>
        <v>0</v>
      </c>
      <c r="M60" s="82">
        <f t="shared" si="46"/>
        <v>0</v>
      </c>
      <c r="N60" s="82">
        <f t="shared" si="47"/>
        <v>0</v>
      </c>
      <c r="O60" s="82">
        <f t="shared" si="52"/>
        <v>0.52359877559829882</v>
      </c>
      <c r="P60" s="81">
        <f t="shared" si="53"/>
        <v>5.196152422706632</v>
      </c>
      <c r="Q60" s="75">
        <f t="shared" si="54"/>
        <v>2.9999999999999996</v>
      </c>
      <c r="R60" s="75">
        <f t="shared" si="55"/>
        <v>5.196152422706632</v>
      </c>
      <c r="S60" s="75">
        <f t="shared" si="56"/>
        <v>2.9999999999999996</v>
      </c>
      <c r="U60" s="75" t="s">
        <v>398</v>
      </c>
      <c r="AA60" s="74" t="str">
        <f t="shared" si="61"/>
        <v>[TestCase(0, 0, 6, 9.52627944162883, 5.5, 5, 5.196152, 3)]  // Tangent, Rotated+</v>
      </c>
    </row>
    <row r="61" spans="1:27" s="75" customFormat="1" x14ac:dyDescent="0.3">
      <c r="A61" s="81">
        <v>4</v>
      </c>
      <c r="B61" s="82">
        <v>5</v>
      </c>
      <c r="C61" s="83">
        <v>6</v>
      </c>
      <c r="D61" s="81">
        <f>A61+$G$49*COS(RADIANS(30))</f>
        <v>13.526279441628827</v>
      </c>
      <c r="E61" s="82">
        <f>B61+$G$49*SIN(RADIANS(30))</f>
        <v>10.5</v>
      </c>
      <c r="F61" s="83">
        <v>5</v>
      </c>
      <c r="G61" s="75">
        <f t="shared" si="60"/>
        <v>11.000000000000002</v>
      </c>
      <c r="H61" s="81">
        <f t="shared" si="48"/>
        <v>6</v>
      </c>
      <c r="I61" s="82">
        <f t="shared" si="49"/>
        <v>0</v>
      </c>
      <c r="J61" s="82">
        <f t="shared" si="50"/>
        <v>6</v>
      </c>
      <c r="K61" s="82">
        <f t="shared" si="51"/>
        <v>0</v>
      </c>
      <c r="L61" s="84">
        <f t="shared" si="45"/>
        <v>0</v>
      </c>
      <c r="M61" s="82">
        <f t="shared" si="46"/>
        <v>4</v>
      </c>
      <c r="N61" s="82">
        <f t="shared" si="47"/>
        <v>5</v>
      </c>
      <c r="O61" s="82">
        <f t="shared" si="52"/>
        <v>0.52359877559829882</v>
      </c>
      <c r="P61" s="81">
        <f t="shared" si="53"/>
        <v>9.196152422706632</v>
      </c>
      <c r="Q61" s="75">
        <f t="shared" si="54"/>
        <v>8</v>
      </c>
      <c r="R61" s="75">
        <f t="shared" si="55"/>
        <v>9.196152422706632</v>
      </c>
      <c r="S61" s="75">
        <f t="shared" si="56"/>
        <v>8</v>
      </c>
      <c r="U61" s="75" t="s">
        <v>424</v>
      </c>
      <c r="AA61" s="74" t="str">
        <f t="shared" si="61"/>
        <v>[TestCase(4, 5, 6, 13.5262794416288, 10.5, 5, 9.196152, 8)]  // Tangent, Translated and Rotated to quadrant 1</v>
      </c>
    </row>
    <row r="62" spans="1:27" s="75" customFormat="1" x14ac:dyDescent="0.3">
      <c r="A62" s="81">
        <v>-4</v>
      </c>
      <c r="B62" s="82">
        <v>5</v>
      </c>
      <c r="C62" s="83">
        <v>6</v>
      </c>
      <c r="D62" s="81">
        <f>A62+$G$49*COS(RADIANS(150))</f>
        <v>-13.526279441628827</v>
      </c>
      <c r="E62" s="82">
        <f>B62+$G$49*SIN(RADIANS(150))</f>
        <v>10.5</v>
      </c>
      <c r="F62" s="83">
        <v>5</v>
      </c>
      <c r="G62" s="75">
        <f t="shared" si="60"/>
        <v>11.000000000000002</v>
      </c>
      <c r="H62" s="81">
        <f t="shared" si="48"/>
        <v>6</v>
      </c>
      <c r="I62" s="82">
        <f t="shared" si="49"/>
        <v>0</v>
      </c>
      <c r="J62" s="82">
        <f t="shared" si="50"/>
        <v>6</v>
      </c>
      <c r="K62" s="82">
        <f t="shared" si="51"/>
        <v>0</v>
      </c>
      <c r="L62" s="84">
        <f t="shared" si="45"/>
        <v>0</v>
      </c>
      <c r="M62" s="82">
        <f t="shared" si="46"/>
        <v>-4</v>
      </c>
      <c r="N62" s="82">
        <f t="shared" si="47"/>
        <v>5</v>
      </c>
      <c r="O62" s="82">
        <f t="shared" si="52"/>
        <v>2.6179938779914944</v>
      </c>
      <c r="P62" s="81">
        <f t="shared" si="53"/>
        <v>-9.196152422706632</v>
      </c>
      <c r="Q62" s="75">
        <f t="shared" si="54"/>
        <v>8</v>
      </c>
      <c r="R62" s="75">
        <f t="shared" si="55"/>
        <v>-9.196152422706632</v>
      </c>
      <c r="S62" s="75">
        <f t="shared" si="56"/>
        <v>8</v>
      </c>
      <c r="U62" s="75" t="s">
        <v>425</v>
      </c>
      <c r="AA62" s="74" t="str">
        <f t="shared" si="61"/>
        <v>[TestCase(-4, 5, 6, -13.5262794416288, 10.5, 5, -9.196152, 8)]  // Tangent, Translated and Rotated to quadrant 2</v>
      </c>
    </row>
    <row r="63" spans="1:27" s="75" customFormat="1" x14ac:dyDescent="0.3">
      <c r="A63" s="81">
        <v>-4</v>
      </c>
      <c r="B63" s="82">
        <v>-5</v>
      </c>
      <c r="C63" s="83">
        <v>6</v>
      </c>
      <c r="D63" s="81">
        <f>A63+$G$49*COS(RADIANS(210))</f>
        <v>-13.526279441628825</v>
      </c>
      <c r="E63" s="82">
        <f>B63+$G$49*SIN(RADIANS(210))</f>
        <v>-10.5</v>
      </c>
      <c r="F63" s="83">
        <v>5</v>
      </c>
      <c r="G63" s="75">
        <f t="shared" si="60"/>
        <v>11</v>
      </c>
      <c r="H63" s="81">
        <f t="shared" si="48"/>
        <v>6</v>
      </c>
      <c r="I63" s="82">
        <f t="shared" si="49"/>
        <v>0</v>
      </c>
      <c r="J63" s="82">
        <f t="shared" si="50"/>
        <v>6</v>
      </c>
      <c r="K63" s="82">
        <f t="shared" si="51"/>
        <v>0</v>
      </c>
      <c r="L63" s="84">
        <f t="shared" si="45"/>
        <v>0</v>
      </c>
      <c r="M63" s="82">
        <f t="shared" si="46"/>
        <v>-4</v>
      </c>
      <c r="N63" s="82">
        <f t="shared" si="47"/>
        <v>-5</v>
      </c>
      <c r="O63" s="82">
        <f t="shared" si="52"/>
        <v>3.6651914291880918</v>
      </c>
      <c r="P63" s="81">
        <f t="shared" si="53"/>
        <v>-9.196152422706632</v>
      </c>
      <c r="Q63" s="75">
        <f t="shared" si="54"/>
        <v>-7.9999999999999982</v>
      </c>
      <c r="R63" s="75">
        <f t="shared" si="55"/>
        <v>-9.196152422706632</v>
      </c>
      <c r="S63" s="75">
        <f t="shared" si="56"/>
        <v>-7.9999999999999982</v>
      </c>
      <c r="U63" s="75" t="s">
        <v>426</v>
      </c>
      <c r="AA63" s="74" t="str">
        <f t="shared" si="61"/>
        <v>[TestCase(-4, -5, 6, -13.5262794416288, -10.5, 5, -9.196152, -8)]  // Tangent, Translated and Rotated to quadrant 3</v>
      </c>
    </row>
    <row r="64" spans="1:27" s="75" customFormat="1" x14ac:dyDescent="0.3">
      <c r="A64" s="81">
        <v>4</v>
      </c>
      <c r="B64" s="82">
        <v>-5</v>
      </c>
      <c r="C64" s="83">
        <v>6</v>
      </c>
      <c r="D64" s="81">
        <f>A64+$G$49*COS(RADIANS(-30))</f>
        <v>13.526279441628827</v>
      </c>
      <c r="E64" s="82">
        <f>B64+$G$49*SIN(RADIANS(-30))</f>
        <v>-10.5</v>
      </c>
      <c r="F64" s="83">
        <v>5</v>
      </c>
      <c r="G64" s="75">
        <f t="shared" si="60"/>
        <v>11.000000000000002</v>
      </c>
      <c r="H64" s="81">
        <f t="shared" si="48"/>
        <v>6</v>
      </c>
      <c r="I64" s="82">
        <f t="shared" si="49"/>
        <v>0</v>
      </c>
      <c r="J64" s="82">
        <f t="shared" si="50"/>
        <v>6</v>
      </c>
      <c r="K64" s="82">
        <f t="shared" si="51"/>
        <v>0</v>
      </c>
      <c r="L64" s="84">
        <f t="shared" si="45"/>
        <v>0</v>
      </c>
      <c r="M64" s="82">
        <f t="shared" si="46"/>
        <v>4</v>
      </c>
      <c r="N64" s="82">
        <f t="shared" si="47"/>
        <v>-5</v>
      </c>
      <c r="O64" s="82">
        <f t="shared" si="52"/>
        <v>5.7595865315812871</v>
      </c>
      <c r="P64" s="81">
        <f t="shared" si="53"/>
        <v>9.1961524227066302</v>
      </c>
      <c r="Q64" s="75">
        <f t="shared" si="54"/>
        <v>-8.0000000000000036</v>
      </c>
      <c r="R64" s="75">
        <f t="shared" si="55"/>
        <v>9.1961524227066302</v>
      </c>
      <c r="S64" s="75">
        <f t="shared" si="56"/>
        <v>-8.0000000000000036</v>
      </c>
      <c r="U64" s="75" t="s">
        <v>427</v>
      </c>
      <c r="AA64" s="74" t="str">
        <f t="shared" si="61"/>
        <v>[TestCase(4, -5, 6, 13.5262794416288, -10.5, 5, 9.196152, -8)]  // Tangent, Translated and Rotated to quadrant 4</v>
      </c>
    </row>
    <row r="65" spans="1:27" x14ac:dyDescent="0.3">
      <c r="A65" s="15">
        <v>0</v>
      </c>
      <c r="B65" s="16">
        <v>0</v>
      </c>
      <c r="C65" s="39">
        <v>6</v>
      </c>
      <c r="D65" s="15">
        <f t="shared" si="58"/>
        <v>11</v>
      </c>
      <c r="E65" s="16">
        <v>0</v>
      </c>
      <c r="F65" s="39">
        <v>7</v>
      </c>
      <c r="G65">
        <f t="shared" si="59"/>
        <v>11</v>
      </c>
      <c r="H65" s="15">
        <f t="shared" si="48"/>
        <v>4.9090909090909092</v>
      </c>
      <c r="I65" s="16">
        <f t="shared" si="49"/>
        <v>3.4497574474564137</v>
      </c>
      <c r="J65" s="16">
        <f t="shared" si="50"/>
        <v>4.9090909090909092</v>
      </c>
      <c r="K65" s="16">
        <f t="shared" si="51"/>
        <v>-3.4497574474564137</v>
      </c>
      <c r="L65" s="19">
        <f t="shared" si="45"/>
        <v>6.8995148949128273</v>
      </c>
      <c r="M65" s="16">
        <f t="shared" si="46"/>
        <v>0</v>
      </c>
      <c r="N65" s="16">
        <f t="shared" si="47"/>
        <v>0</v>
      </c>
      <c r="O65" s="16">
        <f t="shared" si="52"/>
        <v>0</v>
      </c>
      <c r="P65" s="59">
        <f t="shared" si="53"/>
        <v>4.9090909090909092</v>
      </c>
      <c r="Q65" s="3">
        <f t="shared" si="54"/>
        <v>3.4497574474564137</v>
      </c>
      <c r="R65" s="3">
        <f t="shared" si="55"/>
        <v>4.9090909090909092</v>
      </c>
      <c r="S65" s="3">
        <f t="shared" si="56"/>
        <v>-3.4497574474564137</v>
      </c>
      <c r="U65" t="s">
        <v>363</v>
      </c>
      <c r="AA65" s="66" t="str">
        <f t="shared" ref="AA65:AA72" si="62">"[TestCase("&amp;A65&amp;", "&amp;B65&amp;", "&amp;C65&amp;", "&amp;D65&amp;", "&amp;E65&amp;", "&amp;F65&amp;", "&amp;ROUND(P65,6)&amp;", "&amp;ROUND(Q65,6)&amp;", "&amp;ROUND(R65,6)&amp;", "&amp;ROUND(S65,6)&amp;")]  // " &amp; U65</f>
        <v>[TestCase(0, 0, 6, 11, 0, 7, 4.909091, 3.449757, 4.909091, -3.449757)]  // Intersection</v>
      </c>
    </row>
    <row r="66" spans="1:27" x14ac:dyDescent="0.3">
      <c r="A66" s="15">
        <v>4</v>
      </c>
      <c r="B66" s="16">
        <v>0</v>
      </c>
      <c r="C66" s="39">
        <v>6</v>
      </c>
      <c r="D66" s="15">
        <f t="shared" si="58"/>
        <v>15</v>
      </c>
      <c r="E66" s="16">
        <v>0</v>
      </c>
      <c r="F66" s="39">
        <v>7</v>
      </c>
      <c r="G66">
        <f t="shared" si="59"/>
        <v>11</v>
      </c>
      <c r="H66" s="15">
        <f t="shared" si="48"/>
        <v>4.9090909090909092</v>
      </c>
      <c r="I66" s="16">
        <f t="shared" si="49"/>
        <v>3.4497574474564137</v>
      </c>
      <c r="J66" s="16">
        <f t="shared" si="50"/>
        <v>4.9090909090909092</v>
      </c>
      <c r="K66" s="16">
        <f t="shared" si="51"/>
        <v>-3.4497574474564137</v>
      </c>
      <c r="L66" s="19">
        <f t="shared" si="45"/>
        <v>6.8995148949128273</v>
      </c>
      <c r="M66" s="16">
        <f t="shared" si="46"/>
        <v>4</v>
      </c>
      <c r="N66" s="16">
        <f t="shared" si="47"/>
        <v>0</v>
      </c>
      <c r="O66" s="16">
        <f t="shared" si="52"/>
        <v>0</v>
      </c>
      <c r="P66" s="59">
        <f t="shared" si="53"/>
        <v>8.9090909090909101</v>
      </c>
      <c r="Q66" s="3">
        <f t="shared" si="54"/>
        <v>3.4497574474564137</v>
      </c>
      <c r="R66" s="3">
        <f t="shared" si="55"/>
        <v>8.9090909090909101</v>
      </c>
      <c r="S66" s="3">
        <f t="shared" si="56"/>
        <v>-3.4497574474564137</v>
      </c>
      <c r="U66" t="s">
        <v>393</v>
      </c>
      <c r="AA66" s="66" t="str">
        <f t="shared" si="62"/>
        <v>[TestCase(4, 0, 6, 15, 0, 7, 8.909091, 3.449757, 8.909091, -3.449757)]  // Intersection, Shifted+</v>
      </c>
    </row>
    <row r="67" spans="1:27" x14ac:dyDescent="0.3">
      <c r="A67" s="15">
        <v>-4</v>
      </c>
      <c r="B67" s="16">
        <v>0</v>
      </c>
      <c r="C67" s="39">
        <v>6</v>
      </c>
      <c r="D67" s="15">
        <f t="shared" ref="D67" si="63">11+A67</f>
        <v>7</v>
      </c>
      <c r="E67" s="16">
        <v>0</v>
      </c>
      <c r="F67" s="39">
        <v>7</v>
      </c>
      <c r="G67">
        <f t="shared" si="59"/>
        <v>11</v>
      </c>
      <c r="H67" s="15">
        <f t="shared" si="48"/>
        <v>4.9090909090909092</v>
      </c>
      <c r="I67" s="16">
        <f t="shared" si="49"/>
        <v>3.4497574474564137</v>
      </c>
      <c r="J67" s="16">
        <f t="shared" si="50"/>
        <v>4.9090909090909092</v>
      </c>
      <c r="K67" s="16">
        <f t="shared" si="51"/>
        <v>-3.4497574474564137</v>
      </c>
      <c r="L67" s="19">
        <f t="shared" si="45"/>
        <v>6.8995148949128273</v>
      </c>
      <c r="M67" s="16">
        <f t="shared" si="46"/>
        <v>-4</v>
      </c>
      <c r="N67" s="16">
        <f t="shared" si="47"/>
        <v>0</v>
      </c>
      <c r="O67" s="16">
        <f t="shared" si="52"/>
        <v>0</v>
      </c>
      <c r="P67" s="59">
        <f t="shared" si="53"/>
        <v>0.90909090909090917</v>
      </c>
      <c r="Q67" s="3">
        <f t="shared" si="54"/>
        <v>3.4497574474564137</v>
      </c>
      <c r="R67" s="3">
        <f t="shared" si="55"/>
        <v>0.90909090909090917</v>
      </c>
      <c r="S67" s="3">
        <f t="shared" si="56"/>
        <v>-3.4497574474564137</v>
      </c>
      <c r="U67" t="s">
        <v>396</v>
      </c>
      <c r="AA67" s="66" t="str">
        <f t="shared" si="62"/>
        <v>[TestCase(-4, 0, 6, 7, 0, 7, 0.909091, 3.449757, 0.909091, -3.449757)]  // Intersection, Shifted-</v>
      </c>
    </row>
    <row r="68" spans="1:27" x14ac:dyDescent="0.3">
      <c r="A68" s="59">
        <v>0</v>
      </c>
      <c r="B68" s="21">
        <v>0</v>
      </c>
      <c r="C68" s="89">
        <v>6</v>
      </c>
      <c r="D68" s="59">
        <f t="shared" ref="D68:D69" si="64">A68+$G$49*COS(RADIANS(30))</f>
        <v>9.5262794416288266</v>
      </c>
      <c r="E68" s="21">
        <f t="shared" ref="E68:E69" si="65">B68+$G$49*SIN(RADIANS(30))</f>
        <v>5.4999999999999991</v>
      </c>
      <c r="F68" s="89">
        <v>7</v>
      </c>
      <c r="G68" s="3">
        <f t="shared" si="59"/>
        <v>11</v>
      </c>
      <c r="H68" s="15">
        <f t="shared" si="48"/>
        <v>4.9090909090909092</v>
      </c>
      <c r="I68" s="16">
        <f t="shared" si="49"/>
        <v>3.4497574474564137</v>
      </c>
      <c r="J68" s="16">
        <f t="shared" si="50"/>
        <v>4.9090909090909092</v>
      </c>
      <c r="K68" s="16">
        <f t="shared" si="51"/>
        <v>-3.4497574474564137</v>
      </c>
      <c r="L68" s="19">
        <f t="shared" si="45"/>
        <v>6.8995148949128273</v>
      </c>
      <c r="M68" s="16">
        <f t="shared" si="46"/>
        <v>0</v>
      </c>
      <c r="N68" s="16">
        <f t="shared" si="47"/>
        <v>0</v>
      </c>
      <c r="O68" s="16">
        <f t="shared" si="52"/>
        <v>0.52359877559829882</v>
      </c>
      <c r="P68" s="59">
        <f t="shared" si="53"/>
        <v>2.5265187130317655</v>
      </c>
      <c r="Q68" s="3">
        <f t="shared" si="54"/>
        <v>5.4421230409372692</v>
      </c>
      <c r="R68" s="3">
        <f t="shared" si="55"/>
        <v>5.9762761604881787</v>
      </c>
      <c r="S68" s="3">
        <f t="shared" si="56"/>
        <v>-0.53303213184636089</v>
      </c>
      <c r="U68" t="s">
        <v>399</v>
      </c>
      <c r="AA68" s="66" t="str">
        <f t="shared" si="62"/>
        <v>[TestCase(0, 0, 6, 9.52627944162883, 5.5, 7, 2.526519, 5.442123, 5.976276, -0.533032)]  // Intersection, Rotated+</v>
      </c>
    </row>
    <row r="69" spans="1:27" x14ac:dyDescent="0.3">
      <c r="A69" s="59">
        <v>4</v>
      </c>
      <c r="B69" s="21">
        <v>5</v>
      </c>
      <c r="C69" s="89">
        <v>6</v>
      </c>
      <c r="D69" s="59">
        <f t="shared" si="64"/>
        <v>13.526279441628827</v>
      </c>
      <c r="E69" s="21">
        <f t="shared" si="65"/>
        <v>10.5</v>
      </c>
      <c r="F69" s="89">
        <v>7</v>
      </c>
      <c r="G69" s="3">
        <f t="shared" ref="G69" si="66">SQRT((D69-A69)^2+(E69-B69)^2)</f>
        <v>11.000000000000002</v>
      </c>
      <c r="H69" s="15">
        <f t="shared" si="48"/>
        <v>4.9090909090909101</v>
      </c>
      <c r="I69" s="16">
        <f t="shared" si="49"/>
        <v>3.4497574474564123</v>
      </c>
      <c r="J69" s="16">
        <f t="shared" si="50"/>
        <v>4.9090909090909101</v>
      </c>
      <c r="K69" s="16">
        <f t="shared" si="51"/>
        <v>-3.4497574474564123</v>
      </c>
      <c r="L69" s="19">
        <f t="shared" si="45"/>
        <v>6.8995148949128247</v>
      </c>
      <c r="M69" s="16">
        <f t="shared" si="46"/>
        <v>4</v>
      </c>
      <c r="N69" s="16">
        <f t="shared" si="47"/>
        <v>5</v>
      </c>
      <c r="O69" s="16">
        <f t="shared" si="52"/>
        <v>0.52359877559829882</v>
      </c>
      <c r="P69" s="59">
        <f t="shared" si="53"/>
        <v>6.5265187130317672</v>
      </c>
      <c r="Q69" s="3">
        <f t="shared" si="54"/>
        <v>10.442123040937268</v>
      </c>
      <c r="R69" s="3">
        <f t="shared" si="55"/>
        <v>9.9762761604881796</v>
      </c>
      <c r="S69" s="3">
        <f t="shared" si="56"/>
        <v>4.46696786815364</v>
      </c>
      <c r="U69" t="s">
        <v>432</v>
      </c>
      <c r="AA69" s="66" t="str">
        <f t="shared" si="62"/>
        <v>[TestCase(4, 5, 6, 13.5262794416288, 10.5, 7, 6.526519, 10.442123, 9.976276, 4.466968)]  // Intersection, Translated and Rotated to quadrant 1</v>
      </c>
    </row>
    <row r="70" spans="1:27" x14ac:dyDescent="0.3">
      <c r="A70" s="59">
        <v>-4</v>
      </c>
      <c r="B70" s="21">
        <v>5</v>
      </c>
      <c r="C70" s="89">
        <v>6</v>
      </c>
      <c r="D70" s="59">
        <f t="shared" ref="D70" si="67">A70+$G$49*COS(RADIANS(150))</f>
        <v>-13.526279441628827</v>
      </c>
      <c r="E70" s="21">
        <f t="shared" ref="E70" si="68">B70+$G$49*SIN(RADIANS(150))</f>
        <v>10.5</v>
      </c>
      <c r="F70" s="89">
        <v>7</v>
      </c>
      <c r="G70" s="3">
        <f t="shared" ref="G70" si="69">SQRT((D70-A70)^2+(E70-B70)^2)</f>
        <v>11.000000000000002</v>
      </c>
      <c r="H70" s="15">
        <f t="shared" si="48"/>
        <v>4.9090909090909101</v>
      </c>
      <c r="I70" s="16">
        <f t="shared" si="49"/>
        <v>3.4497574474564123</v>
      </c>
      <c r="J70" s="16">
        <f t="shared" si="50"/>
        <v>4.9090909090909101</v>
      </c>
      <c r="K70" s="16">
        <f t="shared" si="51"/>
        <v>-3.4497574474564123</v>
      </c>
      <c r="L70" s="19">
        <f t="shared" si="45"/>
        <v>6.8995148949128247</v>
      </c>
      <c r="M70" s="16">
        <f t="shared" si="46"/>
        <v>-4</v>
      </c>
      <c r="N70" s="16">
        <f t="shared" si="47"/>
        <v>5</v>
      </c>
      <c r="O70" s="16">
        <f t="shared" si="52"/>
        <v>2.6179938779914944</v>
      </c>
      <c r="P70" s="59">
        <f t="shared" si="53"/>
        <v>-9.9762761604881796</v>
      </c>
      <c r="Q70" s="3">
        <f t="shared" si="54"/>
        <v>4.46696786815364</v>
      </c>
      <c r="R70" s="3">
        <f t="shared" si="55"/>
        <v>-6.5265187130317672</v>
      </c>
      <c r="S70" s="3">
        <f t="shared" si="56"/>
        <v>10.442123040937268</v>
      </c>
      <c r="U70" t="s">
        <v>433</v>
      </c>
      <c r="AA70" s="66" t="str">
        <f t="shared" si="62"/>
        <v>[TestCase(-4, 5, 6, -13.5262794416288, 10.5, 7, -9.976276, 4.466968, -6.526519, 10.442123)]  // Intersection, Translated and Rotated to quadrant 2</v>
      </c>
    </row>
    <row r="71" spans="1:27" x14ac:dyDescent="0.3">
      <c r="A71" s="59">
        <v>-4</v>
      </c>
      <c r="B71" s="21">
        <v>-5</v>
      </c>
      <c r="C71" s="89">
        <v>6</v>
      </c>
      <c r="D71" s="59">
        <f>A71+$G$49*COS(RADIANS(210))</f>
        <v>-13.526279441628825</v>
      </c>
      <c r="E71" s="21">
        <f>B71+$G$49*SIN(RADIANS(210))</f>
        <v>-10.5</v>
      </c>
      <c r="F71" s="89">
        <v>7</v>
      </c>
      <c r="G71" s="3">
        <f t="shared" ref="G71" si="70">SQRT((D71-A71)^2+(E71-B71)^2)</f>
        <v>11</v>
      </c>
      <c r="H71" s="15">
        <f t="shared" si="48"/>
        <v>4.9090909090909092</v>
      </c>
      <c r="I71" s="16">
        <f t="shared" si="49"/>
        <v>3.4497574474564137</v>
      </c>
      <c r="J71" s="16">
        <f t="shared" si="50"/>
        <v>4.9090909090909092</v>
      </c>
      <c r="K71" s="16">
        <f t="shared" si="51"/>
        <v>-3.4497574474564137</v>
      </c>
      <c r="L71" s="19">
        <f t="shared" si="45"/>
        <v>6.8995148949128273</v>
      </c>
      <c r="M71" s="16">
        <f t="shared" si="46"/>
        <v>-4</v>
      </c>
      <c r="N71" s="16">
        <f t="shared" si="47"/>
        <v>-5</v>
      </c>
      <c r="O71" s="16">
        <f t="shared" si="52"/>
        <v>3.6651914291880918</v>
      </c>
      <c r="P71" s="59">
        <f t="shared" si="53"/>
        <v>-6.5265187130317663</v>
      </c>
      <c r="Q71" s="3">
        <f t="shared" si="54"/>
        <v>-10.442123040937268</v>
      </c>
      <c r="R71" s="3">
        <f t="shared" si="55"/>
        <v>-9.9762761604881778</v>
      </c>
      <c r="S71" s="3">
        <f t="shared" si="56"/>
        <v>-4.4669678681536382</v>
      </c>
      <c r="U71" t="s">
        <v>434</v>
      </c>
      <c r="AA71" s="66" t="str">
        <f t="shared" si="62"/>
        <v>[TestCase(-4, -5, 6, -13.5262794416288, -10.5, 7, -6.526519, -10.442123, -9.976276, -4.466968)]  // Intersection, Translated and Rotated to quadrant 3</v>
      </c>
    </row>
    <row r="72" spans="1:27" x14ac:dyDescent="0.3">
      <c r="A72" s="59">
        <v>4</v>
      </c>
      <c r="B72" s="21">
        <v>-5</v>
      </c>
      <c r="C72" s="89">
        <v>6</v>
      </c>
      <c r="D72" s="59">
        <f t="shared" ref="D72" si="71">A72+$G$49*COS(RADIANS(-30))</f>
        <v>13.526279441628827</v>
      </c>
      <c r="E72" s="21">
        <f t="shared" ref="E72" si="72">B72+$G$49*SIN(RADIANS(-30))</f>
        <v>-10.5</v>
      </c>
      <c r="F72" s="89">
        <v>7</v>
      </c>
      <c r="G72" s="3">
        <f t="shared" ref="G72" si="73">SQRT((D72-A72)^2+(E72-B72)^2)</f>
        <v>11.000000000000002</v>
      </c>
      <c r="H72" s="15">
        <f t="shared" si="48"/>
        <v>4.9090909090909101</v>
      </c>
      <c r="I72" s="16">
        <f t="shared" si="49"/>
        <v>3.4497574474564123</v>
      </c>
      <c r="J72" s="16">
        <f t="shared" si="50"/>
        <v>4.9090909090909101</v>
      </c>
      <c r="K72" s="16">
        <f t="shared" si="51"/>
        <v>-3.4497574474564123</v>
      </c>
      <c r="L72" s="19">
        <f t="shared" si="45"/>
        <v>6.8995148949128247</v>
      </c>
      <c r="M72" s="16">
        <f t="shared" si="46"/>
        <v>4</v>
      </c>
      <c r="N72" s="16">
        <f t="shared" si="47"/>
        <v>-5</v>
      </c>
      <c r="O72" s="16">
        <f t="shared" si="52"/>
        <v>5.7595865315812871</v>
      </c>
      <c r="P72" s="59">
        <f t="shared" si="53"/>
        <v>9.9762761604881796</v>
      </c>
      <c r="Q72" s="3">
        <f t="shared" si="54"/>
        <v>-4.4669678681536444</v>
      </c>
      <c r="R72" s="3">
        <f t="shared" si="55"/>
        <v>6.5265187130317637</v>
      </c>
      <c r="S72" s="3">
        <f t="shared" si="56"/>
        <v>-10.44212304093727</v>
      </c>
      <c r="U72" t="s">
        <v>435</v>
      </c>
      <c r="AA72" s="66" t="str">
        <f t="shared" si="62"/>
        <v>[TestCase(4, -5, 6, 13.5262794416288, -10.5, 7, 9.976276, -4.466968, 6.526519, -10.442123)]  // Intersection, Translated and Rotated to quadrant 4</v>
      </c>
    </row>
    <row r="73" spans="1:27" x14ac:dyDescent="0.3">
      <c r="H73" t="s">
        <v>400</v>
      </c>
    </row>
    <row r="74" spans="1:27" x14ac:dyDescent="0.3">
      <c r="P74">
        <v>2.5265</v>
      </c>
      <c r="Q74">
        <v>5.4420000000000002</v>
      </c>
      <c r="R74">
        <v>5.976</v>
      </c>
      <c r="S74">
        <v>-0.53300000000000003</v>
      </c>
    </row>
    <row r="75" spans="1:27" x14ac:dyDescent="0.3">
      <c r="L75">
        <f>ROUND(L65,6)</f>
        <v>6.8995150000000001</v>
      </c>
    </row>
    <row r="79" spans="1:27" x14ac:dyDescent="0.3">
      <c r="J79">
        <f>ROUND(SQRT(2^2+1^2), 6)</f>
        <v>2.2360679999999999</v>
      </c>
      <c r="L79">
        <f>SQRT(2.5^2+2.5^2)</f>
        <v>3.5355339059327378</v>
      </c>
    </row>
    <row r="80" spans="1:27" x14ac:dyDescent="0.3">
      <c r="J80">
        <f>ROUND(ATAN(1/2),6)</f>
        <v>0.463648</v>
      </c>
      <c r="L80" s="27">
        <f>DEGREES(ATAN(1/2))</f>
        <v>26.56505117707799</v>
      </c>
      <c r="M80">
        <f>SQRT(1+2^2)</f>
        <v>2.2360679774997898</v>
      </c>
    </row>
    <row r="81" spans="5:20" x14ac:dyDescent="0.3">
      <c r="L81" s="27">
        <f>270-(90-DEGREES(ATAN(-1.5/-0.5)))</f>
        <v>251.56505117707798</v>
      </c>
      <c r="M81">
        <f>SQRT(0.5^2+1.5^2)</f>
        <v>1.5811388300841898</v>
      </c>
    </row>
    <row r="82" spans="5:20" x14ac:dyDescent="0.3">
      <c r="L82" s="27">
        <f>360-L81+L80</f>
        <v>135</v>
      </c>
      <c r="R82">
        <f>(5/4)*PI()</f>
        <v>3.9269908169872414</v>
      </c>
    </row>
    <row r="83" spans="5:20" x14ac:dyDescent="0.3">
      <c r="M83">
        <f>M80-M81</f>
        <v>0.65492914741560004</v>
      </c>
    </row>
    <row r="85" spans="5:20" x14ac:dyDescent="0.3">
      <c r="J85" t="s">
        <v>22</v>
      </c>
      <c r="K85" t="s">
        <v>23</v>
      </c>
      <c r="L85" t="s">
        <v>469</v>
      </c>
      <c r="M85" t="s">
        <v>175</v>
      </c>
      <c r="R85">
        <v>25</v>
      </c>
      <c r="S85" t="s">
        <v>472</v>
      </c>
      <c r="T85" t="s">
        <v>475</v>
      </c>
    </row>
    <row r="86" spans="5:20" x14ac:dyDescent="0.3">
      <c r="E86">
        <f>4*SIN(PI()/4)</f>
        <v>2.8284271247461898</v>
      </c>
      <c r="J86">
        <v>1</v>
      </c>
      <c r="K86">
        <v>2</v>
      </c>
      <c r="L86">
        <f>SQRT(J86^2+K86^2)</f>
        <v>2.2360679774997898</v>
      </c>
      <c r="M86">
        <f>ATAN(K86/J86)</f>
        <v>1.1071487177940904</v>
      </c>
      <c r="R86">
        <f>R85*1.33</f>
        <v>33.25</v>
      </c>
      <c r="S86" t="s">
        <v>472</v>
      </c>
      <c r="T86" t="s">
        <v>474</v>
      </c>
    </row>
    <row r="87" spans="5:20" x14ac:dyDescent="0.3">
      <c r="J87">
        <v>3</v>
      </c>
      <c r="K87">
        <v>4</v>
      </c>
      <c r="L87">
        <f>SQRT(J87^2+K87^2)</f>
        <v>5</v>
      </c>
      <c r="M87">
        <f>ATAN(K87/J87)</f>
        <v>0.92729521800161219</v>
      </c>
      <c r="R87">
        <f>21.69*8</f>
        <v>173.52</v>
      </c>
      <c r="S87" t="s">
        <v>470</v>
      </c>
    </row>
    <row r="88" spans="5:20" x14ac:dyDescent="0.3">
      <c r="J88">
        <v>1</v>
      </c>
      <c r="K88">
        <v>4</v>
      </c>
      <c r="L88">
        <f>SQRT(J88^2+K88^2)</f>
        <v>4.1231056256176606</v>
      </c>
      <c r="M88" s="22">
        <f>ATAN(K88/J88)</f>
        <v>1.3258176636680326</v>
      </c>
      <c r="R88">
        <v>1000</v>
      </c>
      <c r="S88" t="s">
        <v>471</v>
      </c>
      <c r="T88" t="s">
        <v>473</v>
      </c>
    </row>
    <row r="89" spans="5:20" x14ac:dyDescent="0.3">
      <c r="J89">
        <v>-1</v>
      </c>
      <c r="K89">
        <v>-2</v>
      </c>
      <c r="L89">
        <f>SQRT(J89^2+K89^2)</f>
        <v>2.2360679774997898</v>
      </c>
      <c r="M89">
        <f>ATAN(K89/J89)</f>
        <v>1.1071487177940904</v>
      </c>
      <c r="R89">
        <f>R88/R87</f>
        <v>5.7630244352236053</v>
      </c>
      <c r="S89" t="s">
        <v>472</v>
      </c>
    </row>
    <row r="90" spans="5:20" x14ac:dyDescent="0.3">
      <c r="R90">
        <f>R86+R89</f>
        <v>39.013024435223606</v>
      </c>
      <c r="S90" t="s">
        <v>472</v>
      </c>
      <c r="T90" t="s">
        <v>476</v>
      </c>
    </row>
  </sheetData>
  <mergeCells count="10">
    <mergeCell ref="W22:Z22"/>
    <mergeCell ref="O2:P2"/>
    <mergeCell ref="A2:D2"/>
    <mergeCell ref="E22:H22"/>
    <mergeCell ref="I22:K22"/>
    <mergeCell ref="A47:C47"/>
    <mergeCell ref="D47:F47"/>
    <mergeCell ref="H2:K2"/>
    <mergeCell ref="A22:D22"/>
    <mergeCell ref="P22:S22"/>
  </mergeCells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22</vt:i4>
      </vt:variant>
    </vt:vector>
  </HeadingPairs>
  <TitlesOfParts>
    <vt:vector size="43" baseType="lpstr">
      <vt:lpstr>Numbers</vt:lpstr>
      <vt:lpstr>Algebra</vt:lpstr>
      <vt:lpstr>Matrix</vt:lpstr>
      <vt:lpstr>TrigonometryLibrary</vt:lpstr>
      <vt:lpstr>GeometryLibrary</vt:lpstr>
      <vt:lpstr>VectorLibrary</vt:lpstr>
      <vt:lpstr>Vectors</vt:lpstr>
      <vt:lpstr>CartesianCoordinates</vt:lpstr>
      <vt:lpstr>CartesianOffsets</vt:lpstr>
      <vt:lpstr>Angle</vt:lpstr>
      <vt:lpstr>AngleOffsets</vt:lpstr>
      <vt:lpstr>PolarCoordinate</vt:lpstr>
      <vt:lpstr>PolarOffset</vt:lpstr>
      <vt:lpstr>Transformations</vt:lpstr>
      <vt:lpstr>Conics</vt:lpstr>
      <vt:lpstr>Circular Curve</vt:lpstr>
      <vt:lpstr>Elliptical Curve</vt:lpstr>
      <vt:lpstr>Parabolic Curve</vt:lpstr>
      <vt:lpstr>Hyperbolic Curve</vt:lpstr>
      <vt:lpstr>Bezier Curves</vt:lpstr>
      <vt:lpstr>Intersections</vt:lpstr>
      <vt:lpstr>Algebra!a_2</vt:lpstr>
      <vt:lpstr>Algebra!a_bar</vt:lpstr>
      <vt:lpstr>Algebra!A_cap</vt:lpstr>
      <vt:lpstr>Algebra!b_bar</vt:lpstr>
      <vt:lpstr>Algebra!B_cap</vt:lpstr>
      <vt:lpstr>Algebra!c_bar</vt:lpstr>
      <vt:lpstr>Algebra!d_bar</vt:lpstr>
      <vt:lpstr>deltaRadius</vt:lpstr>
      <vt:lpstr>deltaTheta</vt:lpstr>
      <vt:lpstr>Algebra!F_e22</vt:lpstr>
      <vt:lpstr>Algebra!F_e33</vt:lpstr>
      <vt:lpstr>Algebra!F_ez</vt:lpstr>
      <vt:lpstr>Algebra!Q</vt:lpstr>
      <vt:lpstr>Algebra!r_o</vt:lpstr>
      <vt:lpstr>radius1</vt:lpstr>
      <vt:lpstr>radius2</vt:lpstr>
      <vt:lpstr>Algebra!t</vt:lpstr>
      <vt:lpstr>Algebra!theta</vt:lpstr>
      <vt:lpstr>theta1</vt:lpstr>
      <vt:lpstr>theta2</vt:lpstr>
      <vt:lpstr>Algebra!x_o</vt:lpstr>
      <vt:lpstr>Algebra!y_o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Thomas</dc:creator>
  <cp:lastModifiedBy>Mark Thomas</cp:lastModifiedBy>
  <dcterms:created xsi:type="dcterms:W3CDTF">2015-06-05T18:17:20Z</dcterms:created>
  <dcterms:modified xsi:type="dcterms:W3CDTF">2021-01-27T07:04:46Z</dcterms:modified>
</cp:coreProperties>
</file>